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G:\All\School\College\Trine\Year 2\Master's Stats\"/>
    </mc:Choice>
  </mc:AlternateContent>
  <xr:revisionPtr revIDLastSave="0" documentId="13_ncr:1_{95F89641-9BAA-43C7-BE77-5E6B1A3E7A60}" xr6:coauthVersionLast="47" xr6:coauthVersionMax="47" xr10:uidLastSave="{00000000-0000-0000-0000-000000000000}"/>
  <bookViews>
    <workbookView xWindow="19140" yWindow="0" windowWidth="38490" windowHeight="21705" activeTab="4" xr2:uid="{00000000-000D-0000-FFFF-FFFF00000000}"/>
  </bookViews>
  <sheets>
    <sheet name="Data" sheetId="1" r:id="rId1"/>
    <sheet name="Q1" sheetId="4" r:id="rId2"/>
    <sheet name="Q2" sheetId="5" r:id="rId3"/>
    <sheet name="Q3" sheetId="6" r:id="rId4"/>
    <sheet name="Q4" sheetId="7" r:id="rId5"/>
    <sheet name="Q5"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8" l="1"/>
  <c r="D16" i="8"/>
  <c r="C16" i="8"/>
  <c r="B16" i="8"/>
  <c r="D15" i="8"/>
  <c r="C15" i="8"/>
  <c r="B15" i="8"/>
  <c r="E15" i="8" s="1"/>
  <c r="G13" i="8"/>
  <c r="E13" i="8"/>
  <c r="G12" i="8"/>
  <c r="E12" i="8"/>
  <c r="G11" i="8"/>
  <c r="E11" i="8"/>
  <c r="G10" i="8"/>
  <c r="E10" i="8"/>
  <c r="G9" i="8"/>
  <c r="E9" i="8"/>
  <c r="G8" i="8"/>
  <c r="E8" i="8"/>
  <c r="G7" i="8"/>
  <c r="E7" i="8"/>
  <c r="G6" i="8"/>
  <c r="E6" i="8"/>
  <c r="G5" i="8"/>
  <c r="E5" i="8"/>
  <c r="G4" i="8"/>
  <c r="E4" i="8"/>
  <c r="G3" i="8"/>
  <c r="E3" i="8"/>
  <c r="G2" i="8"/>
  <c r="E2" i="8"/>
  <c r="E16" i="6"/>
  <c r="D16" i="6"/>
  <c r="C16" i="6"/>
  <c r="B16" i="6"/>
  <c r="D15" i="6"/>
  <c r="C15" i="6"/>
  <c r="B15" i="6"/>
  <c r="E15" i="6" s="1"/>
  <c r="G13" i="6"/>
  <c r="E13" i="6"/>
  <c r="G12" i="6"/>
  <c r="E12" i="6"/>
  <c r="G11" i="6"/>
  <c r="E11" i="6"/>
  <c r="G10" i="6"/>
  <c r="E10" i="6"/>
  <c r="G9" i="6"/>
  <c r="E9" i="6"/>
  <c r="G8" i="6"/>
  <c r="E8" i="6"/>
  <c r="G7" i="6"/>
  <c r="E7" i="6"/>
  <c r="G6" i="6"/>
  <c r="E6" i="6"/>
  <c r="G5" i="6"/>
  <c r="E5" i="6"/>
  <c r="G4" i="6"/>
  <c r="E4" i="6"/>
  <c r="G3" i="6"/>
  <c r="E3" i="6"/>
  <c r="G2" i="6"/>
  <c r="E2" i="6"/>
  <c r="B15" i="7"/>
  <c r="C15" i="7"/>
  <c r="D15" i="7"/>
  <c r="E15" i="7"/>
  <c r="B16" i="7"/>
  <c r="C16" i="7"/>
  <c r="D16" i="7"/>
  <c r="E16" i="7"/>
  <c r="G13" i="7"/>
  <c r="E13" i="7"/>
  <c r="G12" i="7"/>
  <c r="E12" i="7"/>
  <c r="G11" i="7"/>
  <c r="E11" i="7"/>
  <c r="G10" i="7"/>
  <c r="E10" i="7"/>
  <c r="G9" i="7"/>
  <c r="E9" i="7"/>
  <c r="G8" i="7"/>
  <c r="E8" i="7"/>
  <c r="G7" i="7"/>
  <c r="E7" i="7"/>
  <c r="G6" i="7"/>
  <c r="E6" i="7"/>
  <c r="G5" i="7"/>
  <c r="E5" i="7"/>
  <c r="G4" i="7"/>
  <c r="E4" i="7"/>
  <c r="G3" i="7"/>
  <c r="E3" i="7"/>
  <c r="G2" i="7"/>
  <c r="E2" i="7"/>
  <c r="F11" i="5"/>
  <c r="F15" i="5"/>
  <c r="F14" i="5"/>
  <c r="F13" i="5"/>
  <c r="F12" i="5"/>
  <c r="F9" i="5"/>
  <c r="F8" i="5"/>
  <c r="F10" i="5"/>
  <c r="F7" i="5"/>
  <c r="F6" i="5"/>
  <c r="F5" i="5"/>
  <c r="F4" i="5"/>
  <c r="F3" i="5"/>
  <c r="E15" i="5"/>
  <c r="C15" i="5"/>
  <c r="D15" i="5"/>
  <c r="B15" i="5"/>
  <c r="E5" i="5"/>
  <c r="E4" i="5"/>
  <c r="E6" i="5"/>
  <c r="E7" i="5"/>
  <c r="E8" i="5"/>
  <c r="E9" i="5"/>
  <c r="E10" i="5"/>
  <c r="E11" i="5"/>
  <c r="E12" i="5"/>
  <c r="E13" i="5"/>
  <c r="E14" i="5"/>
  <c r="E3" i="5"/>
</calcChain>
</file>

<file path=xl/sharedStrings.xml><?xml version="1.0" encoding="utf-8"?>
<sst xmlns="http://schemas.openxmlformats.org/spreadsheetml/2006/main" count="152" uniqueCount="26">
  <si>
    <t>Month</t>
  </si>
  <si>
    <t>First Year</t>
  </si>
  <si>
    <t>Second Year</t>
  </si>
  <si>
    <t>Third Year</t>
  </si>
  <si>
    <t>January</t>
  </si>
  <si>
    <t>February</t>
  </si>
  <si>
    <t>March</t>
  </si>
  <si>
    <t>April</t>
  </si>
  <si>
    <t>May</t>
  </si>
  <si>
    <t>June</t>
  </si>
  <si>
    <t>July</t>
  </si>
  <si>
    <t>August</t>
  </si>
  <si>
    <t>September</t>
  </si>
  <si>
    <t>October</t>
  </si>
  <si>
    <t>November</t>
  </si>
  <si>
    <t>December</t>
  </si>
  <si>
    <t xml:space="preserve">The pattern the time series chart shows is that as each year passes the overall revenue seems to go up. The </t>
  </si>
  <si>
    <t>Total:</t>
  </si>
  <si>
    <t>Average</t>
  </si>
  <si>
    <t>Seasonal Index</t>
  </si>
  <si>
    <t>The seasonal indexes for the earlier months are higher, then dip down in the middle of year, before going back up towards the end of the year. These indexes show that the best month for sales is January.</t>
  </si>
  <si>
    <t>Mean</t>
  </si>
  <si>
    <t>The trend of the deseasonalized data seems to be that the overall sale numbes are around the same number of .000148038.</t>
  </si>
  <si>
    <t>Deseaonalized Data:</t>
  </si>
  <si>
    <t>Fourth 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</si>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</sst>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name val="Times New Roman"/>
    </font>
    <font>
      <sz val="8"/>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0" fillId="0" borderId="0" xfId="0" applyAlignment="1">
      <alignment horizontal="left"/>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Data!$B$1</c:f>
              <c:strCache>
                <c:ptCount val="1"/>
                <c:pt idx="0">
                  <c:v>First Year</c:v>
                </c:pt>
              </c:strCache>
            </c:strRef>
          </c:tx>
          <c:spPr>
            <a:solidFill>
              <a:schemeClr val="accent1"/>
            </a:solidFill>
            <a:ln>
              <a:noFill/>
            </a:ln>
            <a:effectLst/>
          </c:spPr>
          <c:invertIfNegative val="0"/>
          <c:cat>
            <c:strRef>
              <c:f>Data!$A$2:$A$13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Data!$B$2:$B$13</c:f>
              <c:numCache>
                <c:formatCode>General</c:formatCode>
                <c:ptCount val="12"/>
                <c:pt idx="0">
                  <c:v>242</c:v>
                </c:pt>
                <c:pt idx="1">
                  <c:v>235</c:v>
                </c:pt>
                <c:pt idx="2">
                  <c:v>232</c:v>
                </c:pt>
                <c:pt idx="3">
                  <c:v>178</c:v>
                </c:pt>
                <c:pt idx="4">
                  <c:v>184</c:v>
                </c:pt>
                <c:pt idx="5">
                  <c:v>140</c:v>
                </c:pt>
                <c:pt idx="6">
                  <c:v>145</c:v>
                </c:pt>
                <c:pt idx="7">
                  <c:v>152</c:v>
                </c:pt>
                <c:pt idx="8">
                  <c:v>110</c:v>
                </c:pt>
                <c:pt idx="9">
                  <c:v>130</c:v>
                </c:pt>
                <c:pt idx="10">
                  <c:v>152</c:v>
                </c:pt>
                <c:pt idx="11">
                  <c:v>206</c:v>
                </c:pt>
              </c:numCache>
            </c:numRef>
          </c:val>
          <c:extLst>
            <c:ext xmlns:c16="http://schemas.microsoft.com/office/drawing/2014/chart" uri="{C3380CC4-5D6E-409C-BE32-E72D297353CC}">
              <c16:uniqueId val="{00000000-188D-453C-A37A-56B6EC087638}"/>
            </c:ext>
          </c:extLst>
        </c:ser>
        <c:ser>
          <c:idx val="1"/>
          <c:order val="1"/>
          <c:tx>
            <c:strRef>
              <c:f>Data!$C$1</c:f>
              <c:strCache>
                <c:ptCount val="1"/>
                <c:pt idx="0">
                  <c:v>Second Year</c:v>
                </c:pt>
              </c:strCache>
            </c:strRef>
          </c:tx>
          <c:spPr>
            <a:solidFill>
              <a:schemeClr val="accent2"/>
            </a:solidFill>
            <a:ln>
              <a:noFill/>
            </a:ln>
            <a:effectLst/>
          </c:spPr>
          <c:invertIfNegative val="0"/>
          <c:cat>
            <c:strRef>
              <c:f>Data!$A$2:$A$13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Data!$C$2:$C$13</c:f>
              <c:numCache>
                <c:formatCode>General</c:formatCode>
                <c:ptCount val="12"/>
                <c:pt idx="0">
                  <c:v>263</c:v>
                </c:pt>
                <c:pt idx="1">
                  <c:v>238</c:v>
                </c:pt>
                <c:pt idx="2">
                  <c:v>247</c:v>
                </c:pt>
                <c:pt idx="3">
                  <c:v>193</c:v>
                </c:pt>
                <c:pt idx="4">
                  <c:v>193</c:v>
                </c:pt>
                <c:pt idx="5">
                  <c:v>149</c:v>
                </c:pt>
                <c:pt idx="6">
                  <c:v>157</c:v>
                </c:pt>
                <c:pt idx="7">
                  <c:v>161</c:v>
                </c:pt>
                <c:pt idx="8">
                  <c:v>122</c:v>
                </c:pt>
                <c:pt idx="9">
                  <c:v>130</c:v>
                </c:pt>
                <c:pt idx="10">
                  <c:v>167</c:v>
                </c:pt>
                <c:pt idx="11">
                  <c:v>230</c:v>
                </c:pt>
              </c:numCache>
            </c:numRef>
          </c:val>
          <c:extLst>
            <c:ext xmlns:c16="http://schemas.microsoft.com/office/drawing/2014/chart" uri="{C3380CC4-5D6E-409C-BE32-E72D297353CC}">
              <c16:uniqueId val="{00000001-188D-453C-A37A-56B6EC087638}"/>
            </c:ext>
          </c:extLst>
        </c:ser>
        <c:ser>
          <c:idx val="2"/>
          <c:order val="2"/>
          <c:tx>
            <c:strRef>
              <c:f>Data!$D$1</c:f>
              <c:strCache>
                <c:ptCount val="1"/>
                <c:pt idx="0">
                  <c:v>Third Year</c:v>
                </c:pt>
              </c:strCache>
            </c:strRef>
          </c:tx>
          <c:spPr>
            <a:solidFill>
              <a:schemeClr val="accent3"/>
            </a:solidFill>
            <a:ln>
              <a:noFill/>
            </a:ln>
            <a:effectLst/>
          </c:spPr>
          <c:invertIfNegative val="0"/>
          <c:cat>
            <c:strRef>
              <c:f>Data!$A$2:$A$13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Data!$D$2:$D$13</c:f>
              <c:numCache>
                <c:formatCode>General</c:formatCode>
                <c:ptCount val="12"/>
                <c:pt idx="0">
                  <c:v>282</c:v>
                </c:pt>
                <c:pt idx="1">
                  <c:v>255</c:v>
                </c:pt>
                <c:pt idx="2">
                  <c:v>265</c:v>
                </c:pt>
                <c:pt idx="3">
                  <c:v>205</c:v>
                </c:pt>
                <c:pt idx="4">
                  <c:v>210</c:v>
                </c:pt>
                <c:pt idx="5">
                  <c:v>160</c:v>
                </c:pt>
                <c:pt idx="6">
                  <c:v>166</c:v>
                </c:pt>
                <c:pt idx="7">
                  <c:v>174</c:v>
                </c:pt>
                <c:pt idx="8">
                  <c:v>126</c:v>
                </c:pt>
                <c:pt idx="9">
                  <c:v>148</c:v>
                </c:pt>
                <c:pt idx="10">
                  <c:v>173</c:v>
                </c:pt>
                <c:pt idx="11">
                  <c:v>235</c:v>
                </c:pt>
              </c:numCache>
            </c:numRef>
          </c:val>
          <c:extLst>
            <c:ext xmlns:c16="http://schemas.microsoft.com/office/drawing/2014/chart" uri="{C3380CC4-5D6E-409C-BE32-E72D297353CC}">
              <c16:uniqueId val="{00000002-188D-453C-A37A-56B6EC087638}"/>
            </c:ext>
          </c:extLst>
        </c:ser>
        <c:dLbls>
          <c:showLegendKey val="0"/>
          <c:showVal val="0"/>
          <c:showCatName val="0"/>
          <c:showSerName val="0"/>
          <c:showPercent val="0"/>
          <c:showBubbleSize val="0"/>
        </c:dLbls>
        <c:gapWidth val="219"/>
        <c:overlap val="-27"/>
        <c:axId val="1195852816"/>
        <c:axId val="1195859536"/>
      </c:barChart>
      <c:catAx>
        <c:axId val="11958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59536"/>
        <c:crosses val="autoZero"/>
        <c:auto val="1"/>
        <c:lblAlgn val="ctr"/>
        <c:lblOffset val="100"/>
        <c:noMultiLvlLbl val="0"/>
      </c:catAx>
      <c:valAx>
        <c:axId val="119585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5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Chart</a:t>
            </a:r>
            <a:r>
              <a:rPr lang="en-US" baseline="0"/>
              <a:t> Alt.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'Q1'!$B$1</c:f>
              <c:strCache>
                <c:ptCount val="1"/>
                <c:pt idx="0">
                  <c:v>First Year</c:v>
                </c:pt>
              </c:strCache>
            </c:strRef>
          </c:tx>
          <c:spPr>
            <a:ln w="28575" cap="rnd">
              <a:solidFill>
                <a:schemeClr val="accent1"/>
              </a:solidFill>
              <a:round/>
            </a:ln>
            <a:effectLst/>
          </c:spPr>
          <c:marker>
            <c:symbol val="none"/>
          </c:marker>
          <c:cat>
            <c:strRef>
              <c:f>'Q1'!$A$2:$A$13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'Q1'!$B$2:$B$13</c:f>
              <c:numCache>
                <c:formatCode>General</c:formatCode>
                <c:ptCount val="12"/>
                <c:pt idx="0">
                  <c:v>242</c:v>
                </c:pt>
                <c:pt idx="1">
                  <c:v>235</c:v>
                </c:pt>
                <c:pt idx="2">
                  <c:v>232</c:v>
                </c:pt>
                <c:pt idx="3">
                  <c:v>178</c:v>
                </c:pt>
                <c:pt idx="4">
                  <c:v>184</c:v>
                </c:pt>
                <c:pt idx="5">
                  <c:v>140</c:v>
                </c:pt>
                <c:pt idx="6">
                  <c:v>145</c:v>
                </c:pt>
                <c:pt idx="7">
                  <c:v>152</c:v>
                </c:pt>
                <c:pt idx="8">
                  <c:v>110</c:v>
                </c:pt>
                <c:pt idx="9">
                  <c:v>130</c:v>
                </c:pt>
                <c:pt idx="10">
                  <c:v>152</c:v>
                </c:pt>
                <c:pt idx="11">
                  <c:v>206</c:v>
                </c:pt>
              </c:numCache>
            </c:numRef>
          </c:val>
          <c:smooth val="0"/>
          <c:extLst>
            <c:ext xmlns:c16="http://schemas.microsoft.com/office/drawing/2014/chart" uri="{C3380CC4-5D6E-409C-BE32-E72D297353CC}">
              <c16:uniqueId val="{00000000-21BC-4EF8-A36F-808DA04AA682}"/>
            </c:ext>
          </c:extLst>
        </c:ser>
        <c:ser>
          <c:idx val="1"/>
          <c:order val="1"/>
          <c:tx>
            <c:strRef>
              <c:f>'Q1'!$C$1</c:f>
              <c:strCache>
                <c:ptCount val="1"/>
                <c:pt idx="0">
                  <c:v>Second Year</c:v>
                </c:pt>
              </c:strCache>
            </c:strRef>
          </c:tx>
          <c:spPr>
            <a:ln w="28575" cap="rnd">
              <a:solidFill>
                <a:schemeClr val="accent2"/>
              </a:solidFill>
              <a:round/>
            </a:ln>
            <a:effectLst/>
          </c:spPr>
          <c:marker>
            <c:symbol val="none"/>
          </c:marker>
          <c:cat>
            <c:strRef>
              <c:f>'Q1'!$A$2:$A$13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'Q1'!$C$2:$C$13</c:f>
              <c:numCache>
                <c:formatCode>General</c:formatCode>
                <c:ptCount val="12"/>
                <c:pt idx="0">
                  <c:v>263</c:v>
                </c:pt>
                <c:pt idx="1">
                  <c:v>238</c:v>
                </c:pt>
                <c:pt idx="2">
                  <c:v>247</c:v>
                </c:pt>
                <c:pt idx="3">
                  <c:v>193</c:v>
                </c:pt>
                <c:pt idx="4">
                  <c:v>193</c:v>
                </c:pt>
                <c:pt idx="5">
                  <c:v>149</c:v>
                </c:pt>
                <c:pt idx="6">
                  <c:v>157</c:v>
                </c:pt>
                <c:pt idx="7">
                  <c:v>161</c:v>
                </c:pt>
                <c:pt idx="8">
                  <c:v>122</c:v>
                </c:pt>
                <c:pt idx="9">
                  <c:v>130</c:v>
                </c:pt>
                <c:pt idx="10">
                  <c:v>167</c:v>
                </c:pt>
                <c:pt idx="11">
                  <c:v>230</c:v>
                </c:pt>
              </c:numCache>
            </c:numRef>
          </c:val>
          <c:smooth val="0"/>
          <c:extLst>
            <c:ext xmlns:c16="http://schemas.microsoft.com/office/drawing/2014/chart" uri="{C3380CC4-5D6E-409C-BE32-E72D297353CC}">
              <c16:uniqueId val="{00000001-21BC-4EF8-A36F-808DA04AA682}"/>
            </c:ext>
          </c:extLst>
        </c:ser>
        <c:ser>
          <c:idx val="2"/>
          <c:order val="2"/>
          <c:tx>
            <c:strRef>
              <c:f>'Q1'!$D$1</c:f>
              <c:strCache>
                <c:ptCount val="1"/>
                <c:pt idx="0">
                  <c:v>Third Year</c:v>
                </c:pt>
              </c:strCache>
            </c:strRef>
          </c:tx>
          <c:spPr>
            <a:ln w="28575" cap="rnd">
              <a:solidFill>
                <a:schemeClr val="accent3"/>
              </a:solidFill>
              <a:round/>
            </a:ln>
            <a:effectLst/>
          </c:spPr>
          <c:marker>
            <c:symbol val="none"/>
          </c:marker>
          <c:cat>
            <c:strRef>
              <c:f>'Q1'!$A$2:$A$13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'Q1'!$D$2:$D$13</c:f>
              <c:numCache>
                <c:formatCode>General</c:formatCode>
                <c:ptCount val="12"/>
                <c:pt idx="0">
                  <c:v>282</c:v>
                </c:pt>
                <c:pt idx="1">
                  <c:v>255</c:v>
                </c:pt>
                <c:pt idx="2">
                  <c:v>265</c:v>
                </c:pt>
                <c:pt idx="3">
                  <c:v>205</c:v>
                </c:pt>
                <c:pt idx="4">
                  <c:v>210</c:v>
                </c:pt>
                <c:pt idx="5">
                  <c:v>160</c:v>
                </c:pt>
                <c:pt idx="6">
                  <c:v>166</c:v>
                </c:pt>
                <c:pt idx="7">
                  <c:v>174</c:v>
                </c:pt>
                <c:pt idx="8">
                  <c:v>126</c:v>
                </c:pt>
                <c:pt idx="9">
                  <c:v>148</c:v>
                </c:pt>
                <c:pt idx="10">
                  <c:v>173</c:v>
                </c:pt>
                <c:pt idx="11">
                  <c:v>235</c:v>
                </c:pt>
              </c:numCache>
            </c:numRef>
          </c:val>
          <c:smooth val="0"/>
          <c:extLst>
            <c:ext xmlns:c16="http://schemas.microsoft.com/office/drawing/2014/chart" uri="{C3380CC4-5D6E-409C-BE32-E72D297353CC}">
              <c16:uniqueId val="{00000002-21BC-4EF8-A36F-808DA04AA682}"/>
            </c:ext>
          </c:extLst>
        </c:ser>
        <c:dLbls>
          <c:showLegendKey val="0"/>
          <c:showVal val="0"/>
          <c:showCatName val="0"/>
          <c:showSerName val="0"/>
          <c:showPercent val="0"/>
          <c:showBubbleSize val="0"/>
        </c:dLbls>
        <c:smooth val="0"/>
        <c:axId val="199707856"/>
        <c:axId val="199706416"/>
      </c:lineChart>
      <c:catAx>
        <c:axId val="1997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6416"/>
        <c:crosses val="autoZero"/>
        <c:auto val="1"/>
        <c:lblAlgn val="ctr"/>
        <c:lblOffset val="100"/>
        <c:noMultiLvlLbl val="0"/>
      </c:catAx>
      <c:valAx>
        <c:axId val="19970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9525</xdr:colOff>
      <xdr:row>0</xdr:row>
      <xdr:rowOff>0</xdr:rowOff>
    </xdr:from>
    <xdr:to>
      <xdr:col>11</xdr:col>
      <xdr:colOff>466725</xdr:colOff>
      <xdr:row>13</xdr:row>
      <xdr:rowOff>19050</xdr:rowOff>
    </xdr:to>
    <xdr:graphicFrame macro="">
      <xdr:nvGraphicFramePr>
        <xdr:cNvPr id="2" name="Chart 1">
          <a:extLst>
            <a:ext uri="{FF2B5EF4-FFF2-40B4-BE49-F238E27FC236}">
              <a16:creationId xmlns:a16="http://schemas.microsoft.com/office/drawing/2014/main" id="{5B46C4DC-761D-4F8A-A195-67D2F0001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466725</xdr:colOff>
      <xdr:row>0</xdr:row>
      <xdr:rowOff>0</xdr:rowOff>
    </xdr:from>
    <xdr:to>
      <xdr:col>18</xdr:col>
      <xdr:colOff>238125</xdr:colOff>
      <xdr:row>13</xdr:row>
      <xdr:rowOff>28575</xdr:rowOff>
    </xdr:to>
    <xdr:graphicFrame macro="">
      <xdr:nvGraphicFramePr>
        <xdr:cNvPr id="3" name="Chart 2">
          <a:extLst>
            <a:ext uri="{FF2B5EF4-FFF2-40B4-BE49-F238E27FC236}">
              <a16:creationId xmlns:a16="http://schemas.microsoft.com/office/drawing/2014/main" id="{61B90F37-2754-EB45-1C67-0F4192A61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selection activeCell="D13" sqref="A1:D13"/>
    </sheetView>
  </sheetViews>
  <sheetFormatPr defaultRowHeight="15.75" x14ac:dyDescent="0.25"/>
  <cols>
    <col min="1" max="1" width="9.125" bestFit="1" customWidth="1"/>
    <col min="2" max="2" width="8.5" bestFit="1" customWidth="1"/>
    <col min="3" max="3" width="10.875" bestFit="1" customWidth="1"/>
    <col min="4" max="4" width="9.125" bestFit="1" customWidth="1"/>
  </cols>
  <sheetData>
    <row r="1" spans="1:4" x14ac:dyDescent="0.25">
      <c r="A1" t="s">
        <v>0</v>
      </c>
      <c r="B1" t="s">
        <v>1</v>
      </c>
      <c r="C1" t="s">
        <v>2</v>
      </c>
      <c r="D1" t="s">
        <v>3</v>
      </c>
    </row>
    <row r="2" spans="1:4" x14ac:dyDescent="0.25">
      <c r="A2" t="s">
        <v>4</v>
      </c>
      <c r="B2">
        <v>242</v>
      </c>
      <c r="C2">
        <v>263</v>
      </c>
      <c r="D2">
        <v>282</v>
      </c>
    </row>
    <row r="3" spans="1:4" x14ac:dyDescent="0.25">
      <c r="A3" t="s">
        <v>5</v>
      </c>
      <c r="B3">
        <v>235</v>
      </c>
      <c r="C3">
        <v>238</v>
      </c>
      <c r="D3">
        <v>255</v>
      </c>
    </row>
    <row r="4" spans="1:4" x14ac:dyDescent="0.25">
      <c r="A4" t="s">
        <v>6</v>
      </c>
      <c r="B4">
        <v>232</v>
      </c>
      <c r="C4">
        <v>247</v>
      </c>
      <c r="D4">
        <v>265</v>
      </c>
    </row>
    <row r="5" spans="1:4" x14ac:dyDescent="0.25">
      <c r="A5" t="s">
        <v>7</v>
      </c>
      <c r="B5">
        <v>178</v>
      </c>
      <c r="C5">
        <v>193</v>
      </c>
      <c r="D5">
        <v>205</v>
      </c>
    </row>
    <row r="6" spans="1:4" x14ac:dyDescent="0.25">
      <c r="A6" t="s">
        <v>8</v>
      </c>
      <c r="B6">
        <v>184</v>
      </c>
      <c r="C6">
        <v>193</v>
      </c>
      <c r="D6">
        <v>210</v>
      </c>
    </row>
    <row r="7" spans="1:4" x14ac:dyDescent="0.25">
      <c r="A7" t="s">
        <v>9</v>
      </c>
      <c r="B7">
        <v>140</v>
      </c>
      <c r="C7">
        <v>149</v>
      </c>
      <c r="D7">
        <v>160</v>
      </c>
    </row>
    <row r="8" spans="1:4" x14ac:dyDescent="0.25">
      <c r="A8" t="s">
        <v>10</v>
      </c>
      <c r="B8">
        <v>145</v>
      </c>
      <c r="C8">
        <v>157</v>
      </c>
      <c r="D8">
        <v>166</v>
      </c>
    </row>
    <row r="9" spans="1:4" x14ac:dyDescent="0.25">
      <c r="A9" t="s">
        <v>11</v>
      </c>
      <c r="B9">
        <v>152</v>
      </c>
      <c r="C9">
        <v>161</v>
      </c>
      <c r="D9">
        <v>174</v>
      </c>
    </row>
    <row r="10" spans="1:4" x14ac:dyDescent="0.25">
      <c r="A10" t="s">
        <v>12</v>
      </c>
      <c r="B10">
        <v>110</v>
      </c>
      <c r="C10">
        <v>122</v>
      </c>
      <c r="D10">
        <v>126</v>
      </c>
    </row>
    <row r="11" spans="1:4" x14ac:dyDescent="0.25">
      <c r="A11" t="s">
        <v>13</v>
      </c>
      <c r="B11">
        <v>130</v>
      </c>
      <c r="C11">
        <v>130</v>
      </c>
      <c r="D11">
        <v>148</v>
      </c>
    </row>
    <row r="12" spans="1:4" x14ac:dyDescent="0.25">
      <c r="A12" t="s">
        <v>14</v>
      </c>
      <c r="B12">
        <v>152</v>
      </c>
      <c r="C12">
        <v>167</v>
      </c>
      <c r="D12">
        <v>173</v>
      </c>
    </row>
    <row r="13" spans="1:4" x14ac:dyDescent="0.25">
      <c r="A13" t="s">
        <v>15</v>
      </c>
      <c r="B13">
        <v>206</v>
      </c>
      <c r="C13">
        <v>230</v>
      </c>
      <c r="D13">
        <v>235</v>
      </c>
    </row>
  </sheetData>
  <phoneticPr fontId="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2F9E-6FD0-4F87-BA4B-9B5DD2856500}">
  <dimension ref="A1:S15"/>
  <sheetViews>
    <sheetView workbookViewId="0">
      <selection activeCell="A15" sqref="A15:S15"/>
    </sheetView>
  </sheetViews>
  <sheetFormatPr defaultRowHeight="15.75" x14ac:dyDescent="0.25"/>
  <cols>
    <col min="1" max="1" width="9.125" bestFit="1" customWidth="1"/>
    <col min="2" max="2" width="8.5" bestFit="1" customWidth="1"/>
    <col min="3" max="3" width="10.875" bestFit="1" customWidth="1"/>
    <col min="4" max="4" width="9.125" bestFit="1" customWidth="1"/>
  </cols>
  <sheetData>
    <row r="1" spans="1:19" x14ac:dyDescent="0.25">
      <c r="A1" t="s">
        <v>0</v>
      </c>
      <c r="B1" t="s">
        <v>1</v>
      </c>
      <c r="C1" t="s">
        <v>2</v>
      </c>
      <c r="D1" t="s">
        <v>3</v>
      </c>
    </row>
    <row r="2" spans="1:19" x14ac:dyDescent="0.25">
      <c r="A2" t="s">
        <v>4</v>
      </c>
      <c r="B2">
        <v>242</v>
      </c>
      <c r="C2">
        <v>263</v>
      </c>
      <c r="D2">
        <v>282</v>
      </c>
    </row>
    <row r="3" spans="1:19" x14ac:dyDescent="0.25">
      <c r="A3" t="s">
        <v>5</v>
      </c>
      <c r="B3">
        <v>235</v>
      </c>
      <c r="C3">
        <v>238</v>
      </c>
      <c r="D3">
        <v>255</v>
      </c>
    </row>
    <row r="4" spans="1:19" x14ac:dyDescent="0.25">
      <c r="A4" t="s">
        <v>6</v>
      </c>
      <c r="B4">
        <v>232</v>
      </c>
      <c r="C4">
        <v>247</v>
      </c>
      <c r="D4">
        <v>265</v>
      </c>
    </row>
    <row r="5" spans="1:19" x14ac:dyDescent="0.25">
      <c r="A5" t="s">
        <v>7</v>
      </c>
      <c r="B5">
        <v>178</v>
      </c>
      <c r="C5">
        <v>193</v>
      </c>
      <c r="D5">
        <v>205</v>
      </c>
    </row>
    <row r="6" spans="1:19" x14ac:dyDescent="0.25">
      <c r="A6" t="s">
        <v>8</v>
      </c>
      <c r="B6">
        <v>184</v>
      </c>
      <c r="C6">
        <v>193</v>
      </c>
      <c r="D6">
        <v>210</v>
      </c>
    </row>
    <row r="7" spans="1:19" x14ac:dyDescent="0.25">
      <c r="A7" t="s">
        <v>9</v>
      </c>
      <c r="B7">
        <v>140</v>
      </c>
      <c r="C7">
        <v>149</v>
      </c>
      <c r="D7">
        <v>160</v>
      </c>
    </row>
    <row r="8" spans="1:19" x14ac:dyDescent="0.25">
      <c r="A8" t="s">
        <v>10</v>
      </c>
      <c r="B8">
        <v>145</v>
      </c>
      <c r="C8">
        <v>157</v>
      </c>
      <c r="D8">
        <v>166</v>
      </c>
    </row>
    <row r="9" spans="1:19" x14ac:dyDescent="0.25">
      <c r="A9" t="s">
        <v>11</v>
      </c>
      <c r="B9">
        <v>152</v>
      </c>
      <c r="C9">
        <v>161</v>
      </c>
      <c r="D9">
        <v>174</v>
      </c>
    </row>
    <row r="10" spans="1:19" x14ac:dyDescent="0.25">
      <c r="A10" t="s">
        <v>12</v>
      </c>
      <c r="B10">
        <v>110</v>
      </c>
      <c r="C10">
        <v>122</v>
      </c>
      <c r="D10">
        <v>126</v>
      </c>
    </row>
    <row r="11" spans="1:19" x14ac:dyDescent="0.25">
      <c r="A11" t="s">
        <v>13</v>
      </c>
      <c r="B11">
        <v>130</v>
      </c>
      <c r="C11">
        <v>130</v>
      </c>
      <c r="D11">
        <v>148</v>
      </c>
    </row>
    <row r="12" spans="1:19" x14ac:dyDescent="0.25">
      <c r="A12" t="s">
        <v>14</v>
      </c>
      <c r="B12">
        <v>152</v>
      </c>
      <c r="C12">
        <v>167</v>
      </c>
      <c r="D12">
        <v>173</v>
      </c>
    </row>
    <row r="13" spans="1:19" x14ac:dyDescent="0.25">
      <c r="A13" t="s">
        <v>15</v>
      </c>
      <c r="B13">
        <v>206</v>
      </c>
      <c r="C13">
        <v>230</v>
      </c>
      <c r="D13">
        <v>235</v>
      </c>
    </row>
    <row r="15" spans="1:19" x14ac:dyDescent="0.25">
      <c r="A15" s="2" t="s">
        <v>16</v>
      </c>
      <c r="B15" s="2"/>
      <c r="C15" s="2"/>
      <c r="D15" s="2"/>
      <c r="E15" s="2"/>
      <c r="F15" s="2"/>
      <c r="G15" s="2"/>
      <c r="H15" s="2"/>
      <c r="I15" s="2"/>
      <c r="J15" s="2"/>
      <c r="K15" s="2"/>
      <c r="L15" s="2"/>
      <c r="M15" s="2"/>
      <c r="N15" s="2"/>
      <c r="O15" s="2"/>
      <c r="P15" s="2"/>
      <c r="Q15" s="2"/>
      <c r="R15" s="2"/>
      <c r="S15" s="2"/>
    </row>
  </sheetData>
  <mergeCells count="1">
    <mergeCell ref="A15:S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8826-116F-4ADD-B631-9074619F0712}">
  <dimension ref="A1:AC17"/>
  <sheetViews>
    <sheetView topLeftCell="A2" workbookViewId="0">
      <selection activeCell="A2" sqref="A2:F15"/>
    </sheetView>
  </sheetViews>
  <sheetFormatPr defaultRowHeight="15.75" x14ac:dyDescent="0.25"/>
  <cols>
    <col min="5" max="5" width="12.75" bestFit="1" customWidth="1"/>
    <col min="6" max="6" width="12.375" bestFit="1" customWidth="1"/>
  </cols>
  <sheetData>
    <row r="1" spans="1:6" x14ac:dyDescent="0.25">
      <c r="A1" t="s">
        <v>0</v>
      </c>
      <c r="B1" t="s">
        <v>1</v>
      </c>
      <c r="C1" t="s">
        <v>2</v>
      </c>
      <c r="D1" t="s">
        <v>3</v>
      </c>
    </row>
    <row r="2" spans="1:6" x14ac:dyDescent="0.25">
      <c r="A2" t="s">
        <v>0</v>
      </c>
      <c r="B2" t="s">
        <v>1</v>
      </c>
      <c r="C2" t="s">
        <v>2</v>
      </c>
      <c r="D2" t="s">
        <v>3</v>
      </c>
      <c r="E2" t="s">
        <v>18</v>
      </c>
      <c r="F2" t="s">
        <v>19</v>
      </c>
    </row>
    <row r="3" spans="1:6" x14ac:dyDescent="0.25">
      <c r="A3" t="s">
        <v>4</v>
      </c>
      <c r="B3">
        <v>242</v>
      </c>
      <c r="C3">
        <v>263</v>
      </c>
      <c r="D3">
        <v>282</v>
      </c>
      <c r="E3">
        <f>AVERAGE(B3:D3)</f>
        <v>262.33333333333331</v>
      </c>
      <c r="F3">
        <f>E3/E15</f>
        <v>0.11650629163582532</v>
      </c>
    </row>
    <row r="4" spans="1:6" x14ac:dyDescent="0.25">
      <c r="A4" t="s">
        <v>5</v>
      </c>
      <c r="B4">
        <v>235</v>
      </c>
      <c r="C4">
        <v>238</v>
      </c>
      <c r="D4">
        <v>255</v>
      </c>
      <c r="E4">
        <f t="shared" ref="E4:E15" si="0">AVERAGE(B4:D4)</f>
        <v>242.66666666666666</v>
      </c>
      <c r="F4">
        <f>E4/E15</f>
        <v>0.10777202072538861</v>
      </c>
    </row>
    <row r="5" spans="1:6" x14ac:dyDescent="0.25">
      <c r="A5" t="s">
        <v>6</v>
      </c>
      <c r="B5">
        <v>232</v>
      </c>
      <c r="C5">
        <v>247</v>
      </c>
      <c r="D5">
        <v>265</v>
      </c>
      <c r="E5">
        <f>AVERAGE(B5:D5)</f>
        <v>248</v>
      </c>
      <c r="F5">
        <f>E5/E15</f>
        <v>0.11014063656550704</v>
      </c>
    </row>
    <row r="6" spans="1:6" x14ac:dyDescent="0.25">
      <c r="A6" t="s">
        <v>7</v>
      </c>
      <c r="B6">
        <v>178</v>
      </c>
      <c r="C6">
        <v>193</v>
      </c>
      <c r="D6">
        <v>205</v>
      </c>
      <c r="E6">
        <f t="shared" si="0"/>
        <v>192</v>
      </c>
      <c r="F6">
        <f>E6/E15</f>
        <v>8.5270170244263518E-2</v>
      </c>
    </row>
    <row r="7" spans="1:6" x14ac:dyDescent="0.25">
      <c r="A7" t="s">
        <v>8</v>
      </c>
      <c r="B7">
        <v>184</v>
      </c>
      <c r="C7">
        <v>193</v>
      </c>
      <c r="D7">
        <v>210</v>
      </c>
      <c r="E7">
        <f t="shared" si="0"/>
        <v>195.66666666666666</v>
      </c>
      <c r="F7">
        <f>E7/E15</f>
        <v>8.6898593634344934E-2</v>
      </c>
    </row>
    <row r="8" spans="1:6" x14ac:dyDescent="0.25">
      <c r="A8" t="s">
        <v>9</v>
      </c>
      <c r="B8">
        <v>140</v>
      </c>
      <c r="C8">
        <v>149</v>
      </c>
      <c r="D8">
        <v>160</v>
      </c>
      <c r="E8">
        <f t="shared" si="0"/>
        <v>149.66666666666666</v>
      </c>
      <c r="F8">
        <f>E8/E15</f>
        <v>6.6469282013323458E-2</v>
      </c>
    </row>
    <row r="9" spans="1:6" x14ac:dyDescent="0.25">
      <c r="A9" t="s">
        <v>10</v>
      </c>
      <c r="B9">
        <v>145</v>
      </c>
      <c r="C9">
        <v>157</v>
      </c>
      <c r="D9">
        <v>166</v>
      </c>
      <c r="E9">
        <f t="shared" si="0"/>
        <v>156</v>
      </c>
      <c r="F9">
        <f>E9/E15</f>
        <v>6.9282013323464106E-2</v>
      </c>
    </row>
    <row r="10" spans="1:6" x14ac:dyDescent="0.25">
      <c r="A10" t="s">
        <v>11</v>
      </c>
      <c r="B10">
        <v>152</v>
      </c>
      <c r="C10">
        <v>161</v>
      </c>
      <c r="D10">
        <v>174</v>
      </c>
      <c r="E10">
        <f t="shared" si="0"/>
        <v>162.33333333333334</v>
      </c>
      <c r="F10">
        <f>E10/E15</f>
        <v>7.209474463360474E-2</v>
      </c>
    </row>
    <row r="11" spans="1:6" x14ac:dyDescent="0.25">
      <c r="A11" t="s">
        <v>12</v>
      </c>
      <c r="B11">
        <v>110</v>
      </c>
      <c r="C11">
        <v>122</v>
      </c>
      <c r="D11">
        <v>126</v>
      </c>
      <c r="E11">
        <f t="shared" si="0"/>
        <v>119.33333333333333</v>
      </c>
      <c r="F11">
        <f>E11/E15</f>
        <v>5.2997779422649889E-2</v>
      </c>
    </row>
    <row r="12" spans="1:6" x14ac:dyDescent="0.25">
      <c r="A12" t="s">
        <v>13</v>
      </c>
      <c r="B12">
        <v>130</v>
      </c>
      <c r="C12">
        <v>130</v>
      </c>
      <c r="D12">
        <v>148</v>
      </c>
      <c r="E12">
        <f t="shared" si="0"/>
        <v>136</v>
      </c>
      <c r="F12">
        <f>E12/E15</f>
        <v>6.0399703923019986E-2</v>
      </c>
    </row>
    <row r="13" spans="1:6" x14ac:dyDescent="0.25">
      <c r="A13" t="s">
        <v>14</v>
      </c>
      <c r="B13">
        <v>152</v>
      </c>
      <c r="C13">
        <v>167</v>
      </c>
      <c r="D13">
        <v>173</v>
      </c>
      <c r="E13">
        <f t="shared" si="0"/>
        <v>164</v>
      </c>
      <c r="F13">
        <f>E13/E15</f>
        <v>7.2834937083641749E-2</v>
      </c>
    </row>
    <row r="14" spans="1:6" x14ac:dyDescent="0.25">
      <c r="A14" t="s">
        <v>15</v>
      </c>
      <c r="B14">
        <v>206</v>
      </c>
      <c r="C14">
        <v>230</v>
      </c>
      <c r="D14">
        <v>235</v>
      </c>
      <c r="E14">
        <f t="shared" si="0"/>
        <v>223.66666666666666</v>
      </c>
      <c r="F14">
        <f>E14/E15</f>
        <v>9.933382679496669E-2</v>
      </c>
    </row>
    <row r="15" spans="1:6" x14ac:dyDescent="0.25">
      <c r="A15" t="s">
        <v>17</v>
      </c>
      <c r="B15">
        <f>SUM(B3:B14)</f>
        <v>2106</v>
      </c>
      <c r="C15">
        <f t="shared" ref="C15:D15" si="1">SUM(C3:C14)</f>
        <v>2250</v>
      </c>
      <c r="D15">
        <f t="shared" si="1"/>
        <v>2399</v>
      </c>
      <c r="E15">
        <f t="shared" si="0"/>
        <v>2251.6666666666665</v>
      </c>
      <c r="F15">
        <f>E15/E15</f>
        <v>1</v>
      </c>
    </row>
    <row r="17" spans="1:29" x14ac:dyDescent="0.25">
      <c r="A17" s="3" t="s">
        <v>20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sheetData>
  <mergeCells count="1">
    <mergeCell ref="A17:AC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D8FDB-8A24-4584-A043-02E5F5E96116}">
  <dimension ref="A1:Q19"/>
  <sheetViews>
    <sheetView workbookViewId="0">
      <selection activeCell="J1" sqref="J1:Q1"/>
    </sheetView>
  </sheetViews>
  <sheetFormatPr defaultRowHeight="15.75" x14ac:dyDescent="0.25"/>
  <cols>
    <col min="1" max="1" width="9.125" bestFit="1" customWidth="1"/>
    <col min="2" max="7" width="11.875" bestFit="1" customWidth="1"/>
    <col min="8" max="8" width="12.375" bestFit="1" customWidth="1"/>
    <col min="9" max="9" width="12.5" bestFit="1" customWidth="1"/>
  </cols>
  <sheetData>
    <row r="1" spans="1:17" x14ac:dyDescent="0.25">
      <c r="A1" t="s">
        <v>0</v>
      </c>
      <c r="B1" t="s">
        <v>1</v>
      </c>
      <c r="C1" t="s">
        <v>2</v>
      </c>
      <c r="D1" t="s">
        <v>3</v>
      </c>
      <c r="E1" t="s">
        <v>17</v>
      </c>
      <c r="G1" t="s">
        <v>18</v>
      </c>
      <c r="H1" t="s">
        <v>19</v>
      </c>
      <c r="J1" s="1" t="s">
        <v>23</v>
      </c>
      <c r="K1" s="1"/>
      <c r="L1" s="1"/>
      <c r="M1" s="1"/>
      <c r="N1" s="1"/>
      <c r="O1" s="1"/>
      <c r="P1" s="1"/>
      <c r="Q1" s="1"/>
    </row>
    <row r="2" spans="1:17" x14ac:dyDescent="0.25">
      <c r="A2" t="s">
        <v>4</v>
      </c>
      <c r="B2">
        <v>242</v>
      </c>
      <c r="C2">
        <v>263</v>
      </c>
      <c r="D2">
        <v>282</v>
      </c>
      <c r="E2">
        <f>SUM(B2:D2)</f>
        <v>787</v>
      </c>
      <c r="G2">
        <f>AVERAGE(B2:D2)</f>
        <v>262.33333333333331</v>
      </c>
      <c r="H2">
        <v>1.3979999999999999</v>
      </c>
      <c r="J2">
        <v>173.1</v>
      </c>
      <c r="K2">
        <v>188.13</v>
      </c>
      <c r="L2">
        <v>201.72</v>
      </c>
    </row>
    <row r="3" spans="1:17" x14ac:dyDescent="0.25">
      <c r="A3" t="s">
        <v>5</v>
      </c>
      <c r="B3">
        <v>235</v>
      </c>
      <c r="C3">
        <v>238</v>
      </c>
      <c r="D3">
        <v>255</v>
      </c>
      <c r="E3">
        <f t="shared" ref="E3:E13" si="0">SUM(B3:D3)</f>
        <v>728</v>
      </c>
      <c r="G3">
        <f>AVERAGE(B3:D3)</f>
        <v>242.66666666666666</v>
      </c>
      <c r="H3">
        <v>1.2929999999999999</v>
      </c>
      <c r="J3">
        <v>181.75</v>
      </c>
      <c r="K3">
        <v>184.07</v>
      </c>
      <c r="L3">
        <v>197.22</v>
      </c>
    </row>
    <row r="4" spans="1:17" x14ac:dyDescent="0.25">
      <c r="A4" t="s">
        <v>6</v>
      </c>
      <c r="B4">
        <v>232</v>
      </c>
      <c r="C4">
        <v>247</v>
      </c>
      <c r="D4">
        <v>265</v>
      </c>
      <c r="E4">
        <f t="shared" si="0"/>
        <v>744</v>
      </c>
      <c r="G4">
        <f>AVERAGE(B4:D4)</f>
        <v>248</v>
      </c>
      <c r="H4">
        <v>1.3220000000000001</v>
      </c>
      <c r="J4">
        <v>175.49</v>
      </c>
      <c r="K4">
        <v>186.84</v>
      </c>
      <c r="L4">
        <v>200.45</v>
      </c>
    </row>
    <row r="5" spans="1:17" x14ac:dyDescent="0.25">
      <c r="A5" t="s">
        <v>7</v>
      </c>
      <c r="B5">
        <v>178</v>
      </c>
      <c r="C5">
        <v>193</v>
      </c>
      <c r="D5">
        <v>205</v>
      </c>
      <c r="E5">
        <f t="shared" si="0"/>
        <v>576</v>
      </c>
      <c r="G5">
        <f>AVERAGE(B5:D5)</f>
        <v>192</v>
      </c>
      <c r="H5">
        <v>1.0229999999999999</v>
      </c>
      <c r="J5">
        <v>173</v>
      </c>
      <c r="K5">
        <v>188.66</v>
      </c>
      <c r="L5">
        <v>200.39</v>
      </c>
    </row>
    <row r="6" spans="1:17" x14ac:dyDescent="0.25">
      <c r="A6" t="s">
        <v>8</v>
      </c>
      <c r="B6">
        <v>184</v>
      </c>
      <c r="C6">
        <v>193</v>
      </c>
      <c r="D6">
        <v>210</v>
      </c>
      <c r="E6">
        <f t="shared" si="0"/>
        <v>587</v>
      </c>
      <c r="G6">
        <f>AVERAGE(B6:D6)</f>
        <v>195.66666666666666</v>
      </c>
      <c r="H6">
        <v>1.0429999999999999</v>
      </c>
      <c r="J6">
        <v>176.41</v>
      </c>
      <c r="K6">
        <v>185.04</v>
      </c>
      <c r="L6">
        <v>201.34</v>
      </c>
    </row>
    <row r="7" spans="1:17" x14ac:dyDescent="0.25">
      <c r="A7" t="s">
        <v>9</v>
      </c>
      <c r="B7">
        <v>140</v>
      </c>
      <c r="C7">
        <v>149</v>
      </c>
      <c r="D7">
        <v>160</v>
      </c>
      <c r="E7">
        <f t="shared" si="0"/>
        <v>449</v>
      </c>
      <c r="G7">
        <f>AVERAGE(B7:D7)</f>
        <v>149.66666666666666</v>
      </c>
      <c r="H7">
        <v>0.79800000000000004</v>
      </c>
      <c r="J7">
        <v>175.44</v>
      </c>
      <c r="K7">
        <v>186.72</v>
      </c>
      <c r="L7">
        <v>200.5</v>
      </c>
    </row>
    <row r="8" spans="1:17" x14ac:dyDescent="0.25">
      <c r="A8" t="s">
        <v>10</v>
      </c>
      <c r="B8">
        <v>145</v>
      </c>
      <c r="C8">
        <v>157</v>
      </c>
      <c r="D8">
        <v>166</v>
      </c>
      <c r="E8">
        <f t="shared" si="0"/>
        <v>468</v>
      </c>
      <c r="G8">
        <f>AVERAGE(B8:D8)</f>
        <v>156</v>
      </c>
      <c r="H8">
        <v>0.83099999999999996</v>
      </c>
      <c r="J8">
        <v>174.49</v>
      </c>
      <c r="K8">
        <v>188.93</v>
      </c>
      <c r="L8">
        <v>199.76</v>
      </c>
    </row>
    <row r="9" spans="1:17" x14ac:dyDescent="0.25">
      <c r="A9" t="s">
        <v>11</v>
      </c>
      <c r="B9">
        <v>152</v>
      </c>
      <c r="C9">
        <v>161</v>
      </c>
      <c r="D9">
        <v>174</v>
      </c>
      <c r="E9">
        <f t="shared" si="0"/>
        <v>487</v>
      </c>
      <c r="G9">
        <f>AVERAGE(B9:D9)</f>
        <v>162.33333333333334</v>
      </c>
      <c r="H9">
        <v>0.86499999999999999</v>
      </c>
      <c r="J9">
        <v>179.31</v>
      </c>
      <c r="K9">
        <v>179.31</v>
      </c>
      <c r="L9">
        <v>204.14</v>
      </c>
    </row>
    <row r="10" spans="1:17" x14ac:dyDescent="0.25">
      <c r="A10" t="s">
        <v>12</v>
      </c>
      <c r="B10">
        <v>110</v>
      </c>
      <c r="C10">
        <v>122</v>
      </c>
      <c r="D10">
        <v>126</v>
      </c>
      <c r="E10">
        <f t="shared" si="0"/>
        <v>358</v>
      </c>
      <c r="G10">
        <f>AVERAGE(B10:D10)</f>
        <v>119.33333333333333</v>
      </c>
      <c r="H10">
        <v>0.63600000000000001</v>
      </c>
      <c r="J10">
        <v>173.91</v>
      </c>
      <c r="K10">
        <v>191.08</v>
      </c>
      <c r="L10">
        <v>197.94</v>
      </c>
    </row>
    <row r="11" spans="1:17" x14ac:dyDescent="0.25">
      <c r="A11" t="s">
        <v>13</v>
      </c>
      <c r="B11">
        <v>130</v>
      </c>
      <c r="C11">
        <v>130</v>
      </c>
      <c r="D11">
        <v>148</v>
      </c>
      <c r="E11">
        <f t="shared" si="0"/>
        <v>408</v>
      </c>
      <c r="G11">
        <f>AVERAGE(B11:D11)</f>
        <v>136</v>
      </c>
      <c r="H11">
        <v>0.72499999999999998</v>
      </c>
      <c r="J11">
        <v>172.82</v>
      </c>
      <c r="K11">
        <v>192.95</v>
      </c>
      <c r="L11">
        <v>197.15</v>
      </c>
    </row>
    <row r="12" spans="1:17" x14ac:dyDescent="0.25">
      <c r="A12" t="s">
        <v>14</v>
      </c>
      <c r="B12">
        <v>152</v>
      </c>
      <c r="C12">
        <v>167</v>
      </c>
      <c r="D12">
        <v>173</v>
      </c>
      <c r="E12">
        <f t="shared" si="0"/>
        <v>492</v>
      </c>
      <c r="G12">
        <f>AVERAGE(B12:D12)</f>
        <v>164</v>
      </c>
      <c r="H12">
        <v>0.874</v>
      </c>
      <c r="J12">
        <v>201.72</v>
      </c>
      <c r="K12">
        <v>200.45</v>
      </c>
      <c r="L12">
        <v>188.66</v>
      </c>
    </row>
    <row r="13" spans="1:17" x14ac:dyDescent="0.25">
      <c r="A13" t="s">
        <v>15</v>
      </c>
      <c r="B13">
        <v>206</v>
      </c>
      <c r="C13">
        <v>230</v>
      </c>
      <c r="D13">
        <v>235</v>
      </c>
      <c r="E13">
        <f t="shared" si="0"/>
        <v>671</v>
      </c>
      <c r="G13">
        <f>AVERAGE(B13:D13)</f>
        <v>223.66666666666666</v>
      </c>
      <c r="H13">
        <v>1.1919999999999999</v>
      </c>
      <c r="J13">
        <v>181.75</v>
      </c>
      <c r="K13">
        <v>200.39</v>
      </c>
      <c r="L13">
        <v>201.16</v>
      </c>
    </row>
    <row r="15" spans="1:17" x14ac:dyDescent="0.25">
      <c r="A15" t="s">
        <v>17</v>
      </c>
      <c r="B15">
        <f>SUM(B2:B13)</f>
        <v>2106</v>
      </c>
      <c r="C15">
        <f>SUM(C2:C13)</f>
        <v>2250</v>
      </c>
      <c r="D15">
        <f>SUM(D2:D13)</f>
        <v>2399</v>
      </c>
      <c r="E15">
        <f>AVERAGE(B15:D15)</f>
        <v>2251.6666666666665</v>
      </c>
    </row>
    <row r="16" spans="1:17" x14ac:dyDescent="0.25">
      <c r="A16" t="s">
        <v>21</v>
      </c>
      <c r="B16">
        <f>GEOMEAN(B2:B13)</f>
        <v>170.34639972407825</v>
      </c>
      <c r="C16">
        <f>GEOMEAN(C2:C13)</f>
        <v>182.00513047292685</v>
      </c>
      <c r="D16">
        <f>GEOMEAN(D2:D13)</f>
        <v>194.18290263723247</v>
      </c>
      <c r="E16">
        <f>GEOMEAN(G2:G13)</f>
        <v>182.19846422832279</v>
      </c>
    </row>
    <row r="19" spans="1:15" x14ac:dyDescent="0.25">
      <c r="A19" s="3" t="s">
        <v>22</v>
      </c>
      <c r="B19" s="3"/>
      <c r="C19" s="3"/>
      <c r="D19" s="3"/>
      <c r="E19" s="3"/>
      <c r="F19" s="3"/>
      <c r="G19" s="3"/>
      <c r="H19" s="3"/>
      <c r="I19" s="3"/>
      <c r="J19" s="3"/>
      <c r="K19" s="3"/>
      <c r="L19" s="3"/>
      <c r="M19" s="3"/>
      <c r="N19" s="3"/>
      <c r="O19" s="3"/>
    </row>
  </sheetData>
  <mergeCells count="2">
    <mergeCell ref="A19:O19"/>
    <mergeCell ref="J1:Q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74093-5020-44E8-B550-7089F6B5E980}">
  <dimension ref="A1:Q31"/>
  <sheetViews>
    <sheetView tabSelected="1" workbookViewId="0">
      <selection activeCell="R17" sqref="R17"/>
    </sheetView>
  </sheetViews>
  <sheetFormatPr defaultRowHeight="15.75" x14ac:dyDescent="0.25"/>
  <cols>
    <col min="1" max="1" width="9.125" bestFit="1" customWidth="1"/>
    <col min="2" max="5" width="11.875" bestFit="1" customWidth="1"/>
    <col min="6" max="6" width="10.5" bestFit="1" customWidth="1"/>
    <col min="7" max="7" width="11.875" bestFit="1" customWidth="1"/>
    <col min="8" max="8" width="12.375" bestFit="1" customWidth="1"/>
    <col min="9" max="9" width="12.5" bestFit="1" customWidth="1"/>
  </cols>
  <sheetData>
    <row r="1" spans="1:17" x14ac:dyDescent="0.25">
      <c r="A1" t="s">
        <v>0</v>
      </c>
      <c r="B1" t="s">
        <v>1</v>
      </c>
      <c r="C1" t="s">
        <v>2</v>
      </c>
      <c r="D1" t="s">
        <v>3</v>
      </c>
      <c r="E1" t="s">
        <v>17</v>
      </c>
      <c r="G1" t="s">
        <v>18</v>
      </c>
      <c r="H1" t="s">
        <v>19</v>
      </c>
      <c r="J1" s="1" t="s">
        <v>23</v>
      </c>
      <c r="K1" s="1"/>
      <c r="L1" s="1"/>
      <c r="M1" s="1"/>
      <c r="N1" s="1"/>
      <c r="O1" s="1"/>
      <c r="P1" s="1"/>
      <c r="Q1" s="1"/>
    </row>
    <row r="2" spans="1:17" x14ac:dyDescent="0.25">
      <c r="A2" t="s">
        <v>4</v>
      </c>
      <c r="B2">
        <v>242</v>
      </c>
      <c r="C2">
        <v>263</v>
      </c>
      <c r="D2">
        <v>282</v>
      </c>
      <c r="E2">
        <f>SUM(B2:D2)</f>
        <v>787</v>
      </c>
      <c r="G2">
        <f>AVERAGE(B2:D2)</f>
        <v>262.33333333333331</v>
      </c>
      <c r="H2">
        <v>1.3979999999999999</v>
      </c>
      <c r="J2">
        <v>173.1</v>
      </c>
      <c r="K2">
        <v>188.13</v>
      </c>
      <c r="L2">
        <v>201.72</v>
      </c>
    </row>
    <row r="3" spans="1:17" x14ac:dyDescent="0.25">
      <c r="A3" t="s">
        <v>5</v>
      </c>
      <c r="B3">
        <v>235</v>
      </c>
      <c r="C3">
        <v>238</v>
      </c>
      <c r="D3">
        <v>255</v>
      </c>
      <c r="E3">
        <f t="shared" ref="E3:E13" si="0">SUM(B3:D3)</f>
        <v>728</v>
      </c>
      <c r="G3">
        <f>AVERAGE(B3:D3)</f>
        <v>242.66666666666666</v>
      </c>
      <c r="H3">
        <v>1.2929999999999999</v>
      </c>
      <c r="J3">
        <v>181.75</v>
      </c>
      <c r="K3">
        <v>184.07</v>
      </c>
      <c r="L3">
        <v>197.22</v>
      </c>
    </row>
    <row r="4" spans="1:17" x14ac:dyDescent="0.25">
      <c r="A4" t="s">
        <v>6</v>
      </c>
      <c r="B4">
        <v>232</v>
      </c>
      <c r="C4">
        <v>247</v>
      </c>
      <c r="D4">
        <v>265</v>
      </c>
      <c r="E4">
        <f t="shared" si="0"/>
        <v>744</v>
      </c>
      <c r="G4">
        <f>AVERAGE(B4:D4)</f>
        <v>248</v>
      </c>
      <c r="H4">
        <v>1.3220000000000001</v>
      </c>
      <c r="J4">
        <v>175.49</v>
      </c>
      <c r="K4">
        <v>186.84</v>
      </c>
      <c r="L4">
        <v>200.45</v>
      </c>
    </row>
    <row r="5" spans="1:17" x14ac:dyDescent="0.25">
      <c r="A5" t="s">
        <v>7</v>
      </c>
      <c r="B5">
        <v>178</v>
      </c>
      <c r="C5">
        <v>193</v>
      </c>
      <c r="D5">
        <v>205</v>
      </c>
      <c r="E5">
        <f t="shared" si="0"/>
        <v>576</v>
      </c>
      <c r="G5">
        <f>AVERAGE(B5:D5)</f>
        <v>192</v>
      </c>
      <c r="H5">
        <v>1.0229999999999999</v>
      </c>
      <c r="J5">
        <v>173</v>
      </c>
      <c r="K5">
        <v>188.66</v>
      </c>
      <c r="L5">
        <v>200.39</v>
      </c>
    </row>
    <row r="6" spans="1:17" x14ac:dyDescent="0.25">
      <c r="A6" t="s">
        <v>8</v>
      </c>
      <c r="B6">
        <v>184</v>
      </c>
      <c r="C6">
        <v>193</v>
      </c>
      <c r="D6">
        <v>210</v>
      </c>
      <c r="E6">
        <f t="shared" si="0"/>
        <v>587</v>
      </c>
      <c r="G6">
        <f>AVERAGE(B6:D6)</f>
        <v>195.66666666666666</v>
      </c>
      <c r="H6">
        <v>1.0429999999999999</v>
      </c>
      <c r="J6">
        <v>176.41</v>
      </c>
      <c r="K6">
        <v>185.04</v>
      </c>
      <c r="L6">
        <v>201.34</v>
      </c>
    </row>
    <row r="7" spans="1:17" x14ac:dyDescent="0.25">
      <c r="A7" t="s">
        <v>9</v>
      </c>
      <c r="B7">
        <v>140</v>
      </c>
      <c r="C7">
        <v>149</v>
      </c>
      <c r="D7">
        <v>160</v>
      </c>
      <c r="E7">
        <f t="shared" si="0"/>
        <v>449</v>
      </c>
      <c r="G7">
        <f>AVERAGE(B7:D7)</f>
        <v>149.66666666666666</v>
      </c>
      <c r="H7">
        <v>0.79800000000000004</v>
      </c>
      <c r="J7">
        <v>175.44</v>
      </c>
      <c r="K7">
        <v>186.72</v>
      </c>
      <c r="L7">
        <v>200.5</v>
      </c>
    </row>
    <row r="8" spans="1:17" x14ac:dyDescent="0.25">
      <c r="A8" t="s">
        <v>10</v>
      </c>
      <c r="B8">
        <v>145</v>
      </c>
      <c r="C8">
        <v>157</v>
      </c>
      <c r="D8">
        <v>166</v>
      </c>
      <c r="E8">
        <f t="shared" si="0"/>
        <v>468</v>
      </c>
      <c r="G8">
        <f>AVERAGE(B8:D8)</f>
        <v>156</v>
      </c>
      <c r="H8">
        <v>0.83099999999999996</v>
      </c>
      <c r="J8">
        <v>174.49</v>
      </c>
      <c r="K8">
        <v>188.93</v>
      </c>
      <c r="L8">
        <v>199.76</v>
      </c>
    </row>
    <row r="9" spans="1:17" x14ac:dyDescent="0.25">
      <c r="A9" t="s">
        <v>11</v>
      </c>
      <c r="B9">
        <v>152</v>
      </c>
      <c r="C9">
        <v>161</v>
      </c>
      <c r="D9">
        <v>174</v>
      </c>
      <c r="E9">
        <f t="shared" si="0"/>
        <v>487</v>
      </c>
      <c r="G9">
        <f>AVERAGE(B9:D9)</f>
        <v>162.33333333333334</v>
      </c>
      <c r="H9">
        <v>0.86499999999999999</v>
      </c>
      <c r="J9">
        <v>179.31</v>
      </c>
      <c r="K9">
        <v>179.31</v>
      </c>
      <c r="L9">
        <v>204.14</v>
      </c>
    </row>
    <row r="10" spans="1:17" x14ac:dyDescent="0.25">
      <c r="A10" t="s">
        <v>12</v>
      </c>
      <c r="B10">
        <v>110</v>
      </c>
      <c r="C10">
        <v>122</v>
      </c>
      <c r="D10">
        <v>126</v>
      </c>
      <c r="E10">
        <f t="shared" si="0"/>
        <v>358</v>
      </c>
      <c r="G10">
        <f>AVERAGE(B10:D10)</f>
        <v>119.33333333333333</v>
      </c>
      <c r="H10">
        <v>0.63600000000000001</v>
      </c>
      <c r="J10">
        <v>173.91</v>
      </c>
      <c r="K10">
        <v>191.08</v>
      </c>
      <c r="L10">
        <v>197.94</v>
      </c>
    </row>
    <row r="11" spans="1:17" x14ac:dyDescent="0.25">
      <c r="A11" t="s">
        <v>13</v>
      </c>
      <c r="B11">
        <v>130</v>
      </c>
      <c r="C11">
        <v>130</v>
      </c>
      <c r="D11">
        <v>148</v>
      </c>
      <c r="E11">
        <f t="shared" si="0"/>
        <v>408</v>
      </c>
      <c r="G11">
        <f>AVERAGE(B11:D11)</f>
        <v>136</v>
      </c>
      <c r="H11">
        <v>0.72499999999999998</v>
      </c>
      <c r="J11">
        <v>172.82</v>
      </c>
      <c r="K11">
        <v>192.95</v>
      </c>
      <c r="L11">
        <v>197.15</v>
      </c>
    </row>
    <row r="12" spans="1:17" x14ac:dyDescent="0.25">
      <c r="A12" t="s">
        <v>14</v>
      </c>
      <c r="B12">
        <v>152</v>
      </c>
      <c r="C12">
        <v>167</v>
      </c>
      <c r="D12">
        <v>173</v>
      </c>
      <c r="E12">
        <f t="shared" si="0"/>
        <v>492</v>
      </c>
      <c r="G12">
        <f>AVERAGE(B12:D12)</f>
        <v>164</v>
      </c>
      <c r="H12">
        <v>0.874</v>
      </c>
      <c r="J12">
        <v>201.72</v>
      </c>
      <c r="K12">
        <v>200.45</v>
      </c>
      <c r="L12">
        <v>188.66</v>
      </c>
    </row>
    <row r="13" spans="1:17" x14ac:dyDescent="0.25">
      <c r="A13" t="s">
        <v>15</v>
      </c>
      <c r="B13">
        <v>206</v>
      </c>
      <c r="C13">
        <v>230</v>
      </c>
      <c r="D13">
        <v>235</v>
      </c>
      <c r="E13">
        <f t="shared" si="0"/>
        <v>671</v>
      </c>
      <c r="G13">
        <f>AVERAGE(B13:D13)</f>
        <v>223.66666666666666</v>
      </c>
      <c r="H13">
        <v>1.1919999999999999</v>
      </c>
      <c r="J13">
        <v>181.75</v>
      </c>
      <c r="K13">
        <v>200.39</v>
      </c>
      <c r="L13">
        <v>201.16</v>
      </c>
    </row>
    <row r="15" spans="1:17" x14ac:dyDescent="0.25">
      <c r="A15" t="s">
        <v>17</v>
      </c>
      <c r="B15">
        <f>SUM(B2:B13)</f>
        <v>2106</v>
      </c>
      <c r="C15">
        <f>SUM(C2:C13)</f>
        <v>2250</v>
      </c>
      <c r="D15">
        <f>SUM(D2:D13)</f>
        <v>2399</v>
      </c>
      <c r="E15">
        <f>AVERAGE(B15:D15)</f>
        <v>2251.6666666666665</v>
      </c>
    </row>
    <row r="16" spans="1:17" x14ac:dyDescent="0.25">
      <c r="A16" t="s">
        <v>21</v>
      </c>
      <c r="B16">
        <f>GEOMEAN(B2:B13)</f>
        <v>170.34639972407825</v>
      </c>
      <c r="C16">
        <f>GEOMEAN(C2:C13)</f>
        <v>182.00513047292685</v>
      </c>
      <c r="D16">
        <f>GEOMEAN(D2:D13)</f>
        <v>194.18290263723247</v>
      </c>
      <c r="E16">
        <f>GEOMEAN(G2:G13)</f>
        <v>182.19846422832279</v>
      </c>
    </row>
    <row r="19" spans="5:6" x14ac:dyDescent="0.25">
      <c r="E19" t="s">
        <v>0</v>
      </c>
      <c r="F19" t="s">
        <v>24</v>
      </c>
    </row>
    <row r="20" spans="5:6" x14ac:dyDescent="0.25">
      <c r="E20" t="s">
        <v>4</v>
      </c>
      <c r="F20">
        <v>293.12</v>
      </c>
    </row>
    <row r="21" spans="5:6" x14ac:dyDescent="0.25">
      <c r="E21" t="s">
        <v>5</v>
      </c>
      <c r="F21">
        <v>271.10000000000002</v>
      </c>
    </row>
    <row r="22" spans="5:6" x14ac:dyDescent="0.25">
      <c r="E22" t="s">
        <v>6</v>
      </c>
      <c r="F22">
        <v>277.18</v>
      </c>
    </row>
    <row r="23" spans="5:6" x14ac:dyDescent="0.25">
      <c r="E23" t="s">
        <v>7</v>
      </c>
      <c r="F23">
        <v>214.49</v>
      </c>
    </row>
    <row r="24" spans="5:6" x14ac:dyDescent="0.25">
      <c r="E24" t="s">
        <v>8</v>
      </c>
      <c r="F24">
        <v>218.69</v>
      </c>
    </row>
    <row r="25" spans="5:6" x14ac:dyDescent="0.25">
      <c r="E25" t="s">
        <v>9</v>
      </c>
      <c r="F25">
        <v>167.32</v>
      </c>
    </row>
    <row r="26" spans="5:6" x14ac:dyDescent="0.25">
      <c r="E26" t="s">
        <v>10</v>
      </c>
      <c r="F26">
        <v>174.24</v>
      </c>
    </row>
    <row r="27" spans="5:6" x14ac:dyDescent="0.25">
      <c r="E27" t="s">
        <v>11</v>
      </c>
      <c r="F27">
        <v>181.36</v>
      </c>
    </row>
    <row r="28" spans="5:6" x14ac:dyDescent="0.25">
      <c r="E28" t="s">
        <v>12</v>
      </c>
      <c r="F28">
        <v>133.35</v>
      </c>
    </row>
    <row r="29" spans="5:6" x14ac:dyDescent="0.25">
      <c r="E29" t="s">
        <v>13</v>
      </c>
      <c r="F29">
        <v>152.01</v>
      </c>
    </row>
    <row r="30" spans="5:6" x14ac:dyDescent="0.25">
      <c r="E30" t="s">
        <v>14</v>
      </c>
      <c r="F30">
        <v>183.25</v>
      </c>
    </row>
    <row r="31" spans="5:6" x14ac:dyDescent="0.25">
      <c r="E31" t="s">
        <v>15</v>
      </c>
      <c r="F31">
        <v>249.93</v>
      </c>
    </row>
  </sheetData>
  <mergeCells count="1">
    <mergeCell ref="J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CEBD-558E-4A24-AA75-28C9877FC1F4}">
  <dimension ref="A1:Q30"/>
  <sheetViews>
    <sheetView workbookViewId="0">
      <selection activeCell="R14" sqref="R14"/>
    </sheetView>
  </sheetViews>
  <sheetFormatPr defaultRowHeight="15.75" x14ac:dyDescent="0.25"/>
  <cols>
    <col min="6" max="6" width="10.5" bestFit="1" customWidth="1"/>
  </cols>
  <sheetData>
    <row r="1" spans="1:17" x14ac:dyDescent="0.25">
      <c r="A1" t="s">
        <v>0</v>
      </c>
      <c r="B1" t="s">
        <v>1</v>
      </c>
      <c r="C1" t="s">
        <v>2</v>
      </c>
      <c r="D1" t="s">
        <v>3</v>
      </c>
      <c r="E1" t="s">
        <v>17</v>
      </c>
      <c r="G1" t="s">
        <v>18</v>
      </c>
      <c r="H1" t="s">
        <v>19</v>
      </c>
      <c r="J1" s="1" t="s">
        <v>23</v>
      </c>
      <c r="K1" s="1"/>
      <c r="L1" s="1"/>
      <c r="M1" s="1"/>
      <c r="N1" s="1"/>
      <c r="O1" s="1"/>
      <c r="P1" s="1"/>
      <c r="Q1" s="1"/>
    </row>
    <row r="2" spans="1:17" x14ac:dyDescent="0.25">
      <c r="A2" t="s">
        <v>4</v>
      </c>
      <c r="B2">
        <v>242</v>
      </c>
      <c r="C2">
        <v>263</v>
      </c>
      <c r="D2">
        <v>282</v>
      </c>
      <c r="E2">
        <f>SUM(B2:D2)</f>
        <v>787</v>
      </c>
      <c r="G2">
        <f>AVERAGE(B2:D2)</f>
        <v>262.33333333333331</v>
      </c>
      <c r="H2">
        <v>1.3979999999999999</v>
      </c>
      <c r="J2">
        <v>173.1</v>
      </c>
      <c r="K2">
        <v>188.13</v>
      </c>
      <c r="L2">
        <v>201.72</v>
      </c>
    </row>
    <row r="3" spans="1:17" x14ac:dyDescent="0.25">
      <c r="A3" t="s">
        <v>5</v>
      </c>
      <c r="B3">
        <v>235</v>
      </c>
      <c r="C3">
        <v>238</v>
      </c>
      <c r="D3">
        <v>255</v>
      </c>
      <c r="E3">
        <f t="shared" ref="E3:E13" si="0">SUM(B3:D3)</f>
        <v>728</v>
      </c>
      <c r="G3">
        <f>AVERAGE(B3:D3)</f>
        <v>242.66666666666666</v>
      </c>
      <c r="H3">
        <v>1.2929999999999999</v>
      </c>
      <c r="J3">
        <v>181.75</v>
      </c>
      <c r="K3">
        <v>184.07</v>
      </c>
      <c r="L3">
        <v>197.22</v>
      </c>
    </row>
    <row r="4" spans="1:17" x14ac:dyDescent="0.25">
      <c r="A4" t="s">
        <v>6</v>
      </c>
      <c r="B4">
        <v>232</v>
      </c>
      <c r="C4">
        <v>247</v>
      </c>
      <c r="D4">
        <v>265</v>
      </c>
      <c r="E4">
        <f t="shared" si="0"/>
        <v>744</v>
      </c>
      <c r="G4">
        <f>AVERAGE(B4:D4)</f>
        <v>248</v>
      </c>
      <c r="H4">
        <v>1.3220000000000001</v>
      </c>
      <c r="J4">
        <v>175.49</v>
      </c>
      <c r="K4">
        <v>186.84</v>
      </c>
      <c r="L4">
        <v>200.45</v>
      </c>
    </row>
    <row r="5" spans="1:17" x14ac:dyDescent="0.25">
      <c r="A5" t="s">
        <v>7</v>
      </c>
      <c r="B5">
        <v>178</v>
      </c>
      <c r="C5">
        <v>193</v>
      </c>
      <c r="D5">
        <v>205</v>
      </c>
      <c r="E5">
        <f t="shared" si="0"/>
        <v>576</v>
      </c>
      <c r="G5">
        <f>AVERAGE(B5:D5)</f>
        <v>192</v>
      </c>
      <c r="H5">
        <v>1.0229999999999999</v>
      </c>
      <c r="J5">
        <v>173</v>
      </c>
      <c r="K5">
        <v>188.66</v>
      </c>
      <c r="L5">
        <v>200.39</v>
      </c>
    </row>
    <row r="6" spans="1:17" x14ac:dyDescent="0.25">
      <c r="A6" t="s">
        <v>8</v>
      </c>
      <c r="B6">
        <v>184</v>
      </c>
      <c r="C6">
        <v>193</v>
      </c>
      <c r="D6">
        <v>210</v>
      </c>
      <c r="E6">
        <f t="shared" si="0"/>
        <v>587</v>
      </c>
      <c r="G6">
        <f>AVERAGE(B6:D6)</f>
        <v>195.66666666666666</v>
      </c>
      <c r="H6">
        <v>1.0429999999999999</v>
      </c>
      <c r="J6">
        <v>176.41</v>
      </c>
      <c r="K6">
        <v>185.04</v>
      </c>
      <c r="L6">
        <v>201.34</v>
      </c>
    </row>
    <row r="7" spans="1:17" x14ac:dyDescent="0.25">
      <c r="A7" t="s">
        <v>9</v>
      </c>
      <c r="B7">
        <v>140</v>
      </c>
      <c r="C7">
        <v>149</v>
      </c>
      <c r="D7">
        <v>160</v>
      </c>
      <c r="E7">
        <f t="shared" si="0"/>
        <v>449</v>
      </c>
      <c r="G7">
        <f>AVERAGE(B7:D7)</f>
        <v>149.66666666666666</v>
      </c>
      <c r="H7">
        <v>0.79800000000000004</v>
      </c>
      <c r="J7">
        <v>175.44</v>
      </c>
      <c r="K7">
        <v>186.72</v>
      </c>
      <c r="L7">
        <v>200.5</v>
      </c>
    </row>
    <row r="8" spans="1:17" x14ac:dyDescent="0.25">
      <c r="A8" t="s">
        <v>10</v>
      </c>
      <c r="B8">
        <v>145</v>
      </c>
      <c r="C8">
        <v>157</v>
      </c>
      <c r="D8">
        <v>166</v>
      </c>
      <c r="E8">
        <f t="shared" si="0"/>
        <v>468</v>
      </c>
      <c r="G8">
        <f>AVERAGE(B8:D8)</f>
        <v>156</v>
      </c>
      <c r="H8">
        <v>0.83099999999999996</v>
      </c>
      <c r="J8">
        <v>174.49</v>
      </c>
      <c r="K8">
        <v>188.93</v>
      </c>
      <c r="L8">
        <v>199.76</v>
      </c>
    </row>
    <row r="9" spans="1:17" x14ac:dyDescent="0.25">
      <c r="A9" t="s">
        <v>11</v>
      </c>
      <c r="B9">
        <v>152</v>
      </c>
      <c r="C9">
        <v>161</v>
      </c>
      <c r="D9">
        <v>174</v>
      </c>
      <c r="E9">
        <f t="shared" si="0"/>
        <v>487</v>
      </c>
      <c r="G9">
        <f>AVERAGE(B9:D9)</f>
        <v>162.33333333333334</v>
      </c>
      <c r="H9">
        <v>0.86499999999999999</v>
      </c>
      <c r="J9">
        <v>179.31</v>
      </c>
      <c r="K9">
        <v>179.31</v>
      </c>
      <c r="L9">
        <v>204.14</v>
      </c>
    </row>
    <row r="10" spans="1:17" x14ac:dyDescent="0.25">
      <c r="A10" t="s">
        <v>12</v>
      </c>
      <c r="B10">
        <v>110</v>
      </c>
      <c r="C10">
        <v>122</v>
      </c>
      <c r="D10">
        <v>126</v>
      </c>
      <c r="E10">
        <f t="shared" si="0"/>
        <v>358</v>
      </c>
      <c r="G10">
        <f>AVERAGE(B10:D10)</f>
        <v>119.33333333333333</v>
      </c>
      <c r="H10">
        <v>0.63600000000000001</v>
      </c>
      <c r="J10">
        <v>173.91</v>
      </c>
      <c r="K10">
        <v>191.08</v>
      </c>
      <c r="L10">
        <v>197.94</v>
      </c>
    </row>
    <row r="11" spans="1:17" x14ac:dyDescent="0.25">
      <c r="A11" t="s">
        <v>13</v>
      </c>
      <c r="B11">
        <v>130</v>
      </c>
      <c r="C11">
        <v>130</v>
      </c>
      <c r="D11">
        <v>148</v>
      </c>
      <c r="E11">
        <f t="shared" si="0"/>
        <v>408</v>
      </c>
      <c r="G11">
        <f>AVERAGE(B11:D11)</f>
        <v>136</v>
      </c>
      <c r="H11">
        <v>0.72499999999999998</v>
      </c>
      <c r="J11">
        <v>172.82</v>
      </c>
      <c r="K11">
        <v>192.95</v>
      </c>
      <c r="L11">
        <v>197.15</v>
      </c>
    </row>
    <row r="12" spans="1:17" x14ac:dyDescent="0.25">
      <c r="A12" t="s">
        <v>14</v>
      </c>
      <c r="B12">
        <v>152</v>
      </c>
      <c r="C12">
        <v>167</v>
      </c>
      <c r="D12">
        <v>173</v>
      </c>
      <c r="E12">
        <f t="shared" si="0"/>
        <v>492</v>
      </c>
      <c r="G12">
        <f>AVERAGE(B12:D12)</f>
        <v>164</v>
      </c>
      <c r="H12">
        <v>0.874</v>
      </c>
      <c r="J12">
        <v>201.72</v>
      </c>
      <c r="K12">
        <v>200.45</v>
      </c>
      <c r="L12">
        <v>188.66</v>
      </c>
    </row>
    <row r="13" spans="1:17" x14ac:dyDescent="0.25">
      <c r="A13" t="s">
        <v>15</v>
      </c>
      <c r="B13">
        <v>206</v>
      </c>
      <c r="C13">
        <v>230</v>
      </c>
      <c r="D13">
        <v>235</v>
      </c>
      <c r="E13">
        <f t="shared" si="0"/>
        <v>671</v>
      </c>
      <c r="G13">
        <f>AVERAGE(B13:D13)</f>
        <v>223.66666666666666</v>
      </c>
      <c r="H13">
        <v>1.1919999999999999</v>
      </c>
      <c r="J13">
        <v>181.75</v>
      </c>
      <c r="K13">
        <v>200.39</v>
      </c>
      <c r="L13">
        <v>201.16</v>
      </c>
    </row>
    <row r="15" spans="1:17" x14ac:dyDescent="0.25">
      <c r="A15" t="s">
        <v>17</v>
      </c>
      <c r="B15">
        <f>SUM(B2:B13)</f>
        <v>2106</v>
      </c>
      <c r="C15">
        <f>SUM(C2:C13)</f>
        <v>2250</v>
      </c>
      <c r="D15">
        <f>SUM(D2:D13)</f>
        <v>2399</v>
      </c>
      <c r="E15">
        <f>AVERAGE(B15:D15)</f>
        <v>2251.6666666666665</v>
      </c>
    </row>
    <row r="16" spans="1:17" x14ac:dyDescent="0.25">
      <c r="A16" t="s">
        <v>21</v>
      </c>
      <c r="B16">
        <f>GEOMEAN(B2:B13)</f>
        <v>170.34639972407825</v>
      </c>
      <c r="C16">
        <f>GEOMEAN(C2:C13)</f>
        <v>182.00513047292685</v>
      </c>
      <c r="D16">
        <f>GEOMEAN(D2:D13)</f>
        <v>194.18290263723247</v>
      </c>
      <c r="E16">
        <f>GEOMEAN(G2:G13)</f>
        <v>182.19846422832279</v>
      </c>
    </row>
    <row r="18" spans="5:6" x14ac:dyDescent="0.25">
      <c r="E18" t="s">
        <v>25</v>
      </c>
      <c r="F18" t="s">
        <v>24</v>
      </c>
    </row>
    <row r="19" spans="5:6" x14ac:dyDescent="0.25">
      <c r="E19" t="s">
        <v>4</v>
      </c>
      <c r="F19">
        <v>262.33</v>
      </c>
    </row>
    <row r="20" spans="5:6" x14ac:dyDescent="0.25">
      <c r="E20" t="s">
        <v>5</v>
      </c>
      <c r="F20">
        <v>242.67</v>
      </c>
    </row>
    <row r="21" spans="5:6" x14ac:dyDescent="0.25">
      <c r="E21" t="s">
        <v>6</v>
      </c>
      <c r="F21">
        <v>248</v>
      </c>
    </row>
    <row r="22" spans="5:6" x14ac:dyDescent="0.25">
      <c r="E22" t="s">
        <v>7</v>
      </c>
      <c r="F22">
        <v>192</v>
      </c>
    </row>
    <row r="23" spans="5:6" x14ac:dyDescent="0.25">
      <c r="E23" t="s">
        <v>8</v>
      </c>
      <c r="F23">
        <v>195.66</v>
      </c>
    </row>
    <row r="24" spans="5:6" x14ac:dyDescent="0.25">
      <c r="E24" t="s">
        <v>9</v>
      </c>
      <c r="F24">
        <v>149.66999999999999</v>
      </c>
    </row>
    <row r="25" spans="5:6" x14ac:dyDescent="0.25">
      <c r="E25" t="s">
        <v>10</v>
      </c>
      <c r="F25">
        <v>156</v>
      </c>
    </row>
    <row r="26" spans="5:6" x14ac:dyDescent="0.25">
      <c r="E26" t="s">
        <v>11</v>
      </c>
      <c r="F26">
        <v>163.36000000000001</v>
      </c>
    </row>
    <row r="27" spans="5:6" x14ac:dyDescent="0.25">
      <c r="E27" t="s">
        <v>12</v>
      </c>
      <c r="F27">
        <v>119.14</v>
      </c>
    </row>
    <row r="28" spans="5:6" x14ac:dyDescent="0.25">
      <c r="E28" t="s">
        <v>13</v>
      </c>
      <c r="F28">
        <v>137.61000000000001</v>
      </c>
    </row>
    <row r="29" spans="5:6" x14ac:dyDescent="0.25">
      <c r="E29" t="s">
        <v>14</v>
      </c>
      <c r="F29">
        <v>164.03</v>
      </c>
    </row>
    <row r="30" spans="5:6" x14ac:dyDescent="0.25">
      <c r="E30" t="s">
        <v>15</v>
      </c>
      <c r="F30">
        <v>228.22</v>
      </c>
    </row>
  </sheetData>
  <mergeCells count="1">
    <mergeCell ref="J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Q1</vt:lpstr>
      <vt:lpstr>Q2</vt:lpstr>
      <vt:lpstr>Q3</vt:lpstr>
      <vt:lpstr>Q4</vt:lpstr>
      <vt:lpstr>Q5</vt:lpstr>
    </vt:vector>
  </TitlesOfParts>
  <Company>Rochester Institute of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A Williams</dc:creator>
  <cp:lastModifiedBy>Bumpus, Dominic Jacob</cp:lastModifiedBy>
  <dcterms:created xsi:type="dcterms:W3CDTF">2006-08-12T12:33:48Z</dcterms:created>
  <dcterms:modified xsi:type="dcterms:W3CDTF">2024-10-04T02:36:06Z</dcterms:modified>
</cp:coreProperties>
</file>