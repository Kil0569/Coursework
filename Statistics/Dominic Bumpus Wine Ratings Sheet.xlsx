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ll\School\College\Trine\Year 2\Master's Stats\"/>
    </mc:Choice>
  </mc:AlternateContent>
  <xr:revisionPtr revIDLastSave="0" documentId="8_{D7FDFBF9-0632-4D16-8272-4BFEA2F31831}" xr6:coauthVersionLast="47" xr6:coauthVersionMax="47" xr10:uidLastSave="{00000000-0000-0000-0000-000000000000}"/>
  <bookViews>
    <workbookView xWindow="19140" yWindow="0" windowWidth="38490" windowHeight="21705" activeTab="8" xr2:uid="{6DEF9A1E-D768-44FB-AD10-4BAE73441AFC}"/>
  </bookViews>
  <sheets>
    <sheet name="Data" sheetId="1" r:id="rId1"/>
    <sheet name="Q1" sheetId="2" r:id="rId2"/>
    <sheet name="Q2" sheetId="12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 a="1"/>
  <c r="G2" i="7" s="1"/>
  <c r="F2" i="7" a="1"/>
  <c r="F2" i="7" s="1"/>
  <c r="F2" i="5" a="1"/>
  <c r="F2" i="5" s="1"/>
  <c r="I5" i="2" l="1"/>
  <c r="I4" i="2"/>
  <c r="I3" i="2"/>
  <c r="I2" i="2"/>
  <c r="H7" i="2"/>
  <c r="H6" i="2"/>
  <c r="H5" i="2"/>
  <c r="H4" i="2"/>
  <c r="H3" i="2" s="1"/>
  <c r="H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<sst xmlns="http://schemas.openxmlformats.org/spreadsheetml/2006/main" count="1263" uniqueCount="126">
  <si>
    <t>Number</t>
  </si>
  <si>
    <t>Wine</t>
  </si>
  <si>
    <t>Price</t>
  </si>
  <si>
    <t>Score</t>
  </si>
  <si>
    <t>Rating</t>
  </si>
  <si>
    <t>Barolo 2006</t>
  </si>
  <si>
    <t>Outstanding</t>
  </si>
  <si>
    <t>Barbera d'Alba Superiore 2007</t>
  </si>
  <si>
    <t>Barbera Piemonte Castelvero 2009</t>
  </si>
  <si>
    <t>Good</t>
  </si>
  <si>
    <t>Barolo Cannubi 2006</t>
  </si>
  <si>
    <t>Barolo San Pietro 2006</t>
  </si>
  <si>
    <t>Chardonnay Langhe 2009</t>
  </si>
  <si>
    <t>Gavi Minaia 2009</t>
  </si>
  <si>
    <t>Very Good</t>
  </si>
  <si>
    <t>Langhe Faletto 2007</t>
  </si>
  <si>
    <t>Favorita Langhe White 2008</t>
  </si>
  <si>
    <t>Langhe Brandini &amp; Brandini 2008</t>
  </si>
  <si>
    <t>Arneis Langhe 2009</t>
  </si>
  <si>
    <t>Barolo Vigneto La Villa 2006</t>
  </si>
  <si>
    <t>Barbaresco Currá 2007</t>
  </si>
  <si>
    <t>Barolo Monfortino Riserva 2002</t>
  </si>
  <si>
    <t>Classic</t>
  </si>
  <si>
    <t>Barbera d'Alba Lirano Soprano 2007</t>
  </si>
  <si>
    <t>Barbera d'Alba Superiore 2006</t>
  </si>
  <si>
    <t>Barolo Rocche dell'Annunziata 2006</t>
  </si>
  <si>
    <t>Barbaresco Silvio Giamello Vicenziana 2005</t>
  </si>
  <si>
    <t>Roero Arneis Renesio 2009</t>
  </si>
  <si>
    <t>Langhe Sorì San Lorenzo 2007</t>
  </si>
  <si>
    <t>Barbaresco Silvio Giamello Vicenziana 2006</t>
  </si>
  <si>
    <t>Barbera d'Alba La Gamberaja 2007</t>
  </si>
  <si>
    <t>Langhe White Cinerino 2008</t>
  </si>
  <si>
    <t>Barolo Bricco Viole 2006</t>
  </si>
  <si>
    <t>Barbera d'Alba Tradizione 2007</t>
  </si>
  <si>
    <t>Barbera d'Alba 2009</t>
  </si>
  <si>
    <t>Roero Arneis Valle dei Lunghi 2009</t>
  </si>
  <si>
    <t>Piemonte La Valletta 2008</t>
  </si>
  <si>
    <t>Barolo Brunate 2006</t>
  </si>
  <si>
    <t>Barolo Vigna Rionda 2004</t>
  </si>
  <si>
    <t>Barolo Gramolere 2006</t>
  </si>
  <si>
    <t>Barbera d'Asti Superiore Chersì 2006</t>
  </si>
  <si>
    <t>Barbera d'Alba 2008</t>
  </si>
  <si>
    <t>Barbera d'Alba Serraboella 2008</t>
  </si>
  <si>
    <t>Cortese Piemonte Castelvero 2009</t>
  </si>
  <si>
    <t>Barolo Bussia Romirasco 2006</t>
  </si>
  <si>
    <t>Roero Arneis Saglietto 2008</t>
  </si>
  <si>
    <t>Barbaresco Bricco Asili 2007</t>
  </si>
  <si>
    <t>Barbera d'Alba Superiore 2008</t>
  </si>
  <si>
    <t>Barolo Prapò 2005</t>
  </si>
  <si>
    <t>Moscato d'Asti 2009</t>
  </si>
  <si>
    <t>Gavi Vigna del Lago 2009</t>
  </si>
  <si>
    <t>Barbaresco Serraboella 2007</t>
  </si>
  <si>
    <t>Barolo Bussia Colonnello 2006</t>
  </si>
  <si>
    <t>Barolo Vigneto Arborina 2006</t>
  </si>
  <si>
    <t>Dolcetto d'Alba Fontanazza 2009</t>
  </si>
  <si>
    <t>Gavi 2009</t>
  </si>
  <si>
    <t>Barbaresco Il Bricco 2006</t>
  </si>
  <si>
    <t>Barbera d'Alba Filatura 2008</t>
  </si>
  <si>
    <t>Barbera d'Alba Zio Nando 2008</t>
  </si>
  <si>
    <t>Dolcetto d'Alba 2009</t>
  </si>
  <si>
    <t>Barbaresco 2007</t>
  </si>
  <si>
    <t>Mediocre</t>
  </si>
  <si>
    <t>Langhe 2006</t>
  </si>
  <si>
    <t>Barbaresco Ovello 2006</t>
  </si>
  <si>
    <t>Nebbiolo Langhe Cerretta 2008</t>
  </si>
  <si>
    <t>Barbera d'Asti Superiore Montruc 2008</t>
  </si>
  <si>
    <t>Barolo Le Rocche del Falletto Riserva 2004</t>
  </si>
  <si>
    <t>Barolo Preda 2006</t>
  </si>
  <si>
    <t>Barbera del Monferrato Superiore Perlydia 2003</t>
  </si>
  <si>
    <t>Grangia NV</t>
  </si>
  <si>
    <t>Langhe White Le Pernici 2009</t>
  </si>
  <si>
    <t>Barbera d'Asti Superiore Il Cascinone Rive 2007</t>
  </si>
  <si>
    <t>Barbera d'Alba Piani 2008</t>
  </si>
  <si>
    <t>Barolo Ciabot Mentin Ginestra 2006</t>
  </si>
  <si>
    <t>Barbera d'Asti Bricco dell'Uccellone 2007</t>
  </si>
  <si>
    <t>Barolo Marenca 2006</t>
  </si>
  <si>
    <t>Chardonnay Piemonte L'Altro 2009</t>
  </si>
  <si>
    <t>Barolo Serralunga 2006</t>
  </si>
  <si>
    <t>Dolcetto d'Alba Superiore 2008</t>
  </si>
  <si>
    <t>Gavi Black Label 2009</t>
  </si>
  <si>
    <t>Langhe Sorì Tildìn 2007</t>
  </si>
  <si>
    <t>Barolo Mosconi 2006</t>
  </si>
  <si>
    <t>Nebbiolo Langhe Ginestrino 2008</t>
  </si>
  <si>
    <t>Barolo La Rosa 2006</t>
  </si>
  <si>
    <t>Nebbiolo Langhe 2008</t>
  </si>
  <si>
    <t>Dogliani Papà Celso 2008</t>
  </si>
  <si>
    <t>Barolo Lazzarito 2006</t>
  </si>
  <si>
    <t>Barbaresco Asij 2007</t>
  </si>
  <si>
    <t>Barbaresco Vanotu 1999</t>
  </si>
  <si>
    <t>Langhe Barilin 2005</t>
  </si>
  <si>
    <t>Barbera d'Alba Pistìn 2009</t>
  </si>
  <si>
    <t>Barolo Pì Vigne 2006</t>
  </si>
  <si>
    <t>Barolo Broglio 2005</t>
  </si>
  <si>
    <t>Dogliani Sirì d'Jermu 2008</t>
  </si>
  <si>
    <t>Dolcetto d'Alba 2008</t>
  </si>
  <si>
    <t>Gavi La Luciana 2009</t>
  </si>
  <si>
    <t>Dolcetto d'Alba Autinot 2009</t>
  </si>
  <si>
    <t>Barolo Rocche di Castiglione 2006</t>
  </si>
  <si>
    <t>Chardonnay Langhe Bastia 2008</t>
  </si>
  <si>
    <t>Classic:</t>
  </si>
  <si>
    <t>Outstanding:</t>
  </si>
  <si>
    <t>Very Good:</t>
  </si>
  <si>
    <t>Good:</t>
  </si>
  <si>
    <t>Mediocore:</t>
  </si>
  <si>
    <t>Not Reccommended:</t>
  </si>
  <si>
    <t>Number:</t>
  </si>
  <si>
    <t>Average Price:</t>
  </si>
  <si>
    <t>NA</t>
  </si>
  <si>
    <t>Realationship Between Raiting and Price?</t>
  </si>
  <si>
    <t xml:space="preserve">There does seem to be a realationship between the rating and the price of the wine. </t>
  </si>
  <si>
    <t>The higher the raiting of the wine the higher the price of the wine.</t>
  </si>
  <si>
    <t>No other aspects of the data stand out.</t>
  </si>
  <si>
    <t>y = 0.028x + 87.763</t>
  </si>
  <si>
    <t>Regression Equation:</t>
  </si>
  <si>
    <t>Price^2</t>
  </si>
  <si>
    <t>Yes, the relationship between price and score seems to be a positve linear realationship.</t>
  </si>
  <si>
    <t>Regression Line:</t>
  </si>
  <si>
    <r>
      <t>y = -0.0001x</t>
    </r>
    <r>
      <rPr>
        <vertAlign val="superscript"/>
        <sz val="9"/>
        <color rgb="FF595959"/>
        <rFont val="Aptos Narrow"/>
        <family val="2"/>
        <scheme val="minor"/>
      </rPr>
      <t>2</t>
    </r>
    <r>
      <rPr>
        <sz val="9"/>
        <color rgb="FF595959"/>
        <rFont val="Aptos Narrow"/>
        <family val="2"/>
        <scheme val="minor"/>
      </rPr>
      <t xml:space="preserve"> + 0.0713x + 86.166</t>
    </r>
  </si>
  <si>
    <t>The lines of regression for both models show a good fit for the data, however the line for the second-order regression model shows a better fit when compared to the normal regression line.</t>
  </si>
  <si>
    <t>LN(Price)</t>
  </si>
  <si>
    <t>y = 0.1825x - 12.597</t>
  </si>
  <si>
    <t>When you compare the values of the two lines the natural logrithmic model has a better fit for the data.</t>
  </si>
  <si>
    <t>Based on the analysis of the data given I would say that spending more on a bottle of wine does provide a better wine.</t>
  </si>
  <si>
    <t>There is a positive relationion between price and the given score for a wine.</t>
  </si>
  <si>
    <t xml:space="preserve">Spending the maximum you wish to spend of $30 on a bottle of wine compared to say a $15 dollar bottle of wine as a cheaper alternative will provide a better wine. </t>
  </si>
  <si>
    <t>This is shown best with the data showing that there is much more "Very Good" reviewed with an average price of $30 compared to a "Good" wine.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</si>
</sst>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9"/>
      <color rgb="FF595959"/>
      <name val="Aptos Narrow"/>
      <family val="2"/>
      <scheme val="minor"/>
    </font>
    <font>
      <vertAlign val="superscript"/>
      <sz val="9"/>
      <color rgb="FF59595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2" fillId="0" borderId="0" xfId="2"/>
    <xf numFmtId="0" fontId="3" fillId="0" borderId="0" xfId="2" applyFont="1"/>
    <xf numFmtId="0" fontId="2" fillId="0" borderId="0" xfId="2" applyFont="1"/>
    <xf numFmtId="0" fontId="3" fillId="0" borderId="0" xfId="2" applyFont="1" applyFill="1"/>
    <xf numFmtId="0" fontId="0" fillId="0" borderId="0" xfId="0" applyAlignment="1">
      <alignment horizontal="right"/>
    </xf>
    <xf numFmtId="44" fontId="0" fillId="0" borderId="0" xfId="1" applyFont="1"/>
    <xf numFmtId="0" fontId="0" fillId="0" borderId="0" xfId="0" applyAlignment="1">
      <alignment vertical="top"/>
    </xf>
  </cellXfs>
  <cellStyles count="3">
    <cellStyle name="Currency" xfId="1" builtinId="4"/>
    <cellStyle name="Normal" xfId="0" builtinId="0"/>
    <cellStyle name="Normal 2" xfId="2" xr:uid="{DDBE58D8-B127-43B8-97BF-57F01F3C0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and Price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'Q2'!$D$1</c:f>
              <c:strCache>
                <c:ptCount val="1"/>
                <c:pt idx="0">
                  <c:v>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'Q2'!$C$2:$C$101</c:f>
              <c:numCache>
                <c:formatCode>General</c:formatCode>
                <c:ptCount val="100"/>
                <c:pt idx="0">
                  <c:v>52</c:v>
                </c:pt>
                <c:pt idx="1">
                  <c:v>30</c:v>
                </c:pt>
                <c:pt idx="2">
                  <c:v>10</c:v>
                </c:pt>
                <c:pt idx="3">
                  <c:v>120</c:v>
                </c:pt>
                <c:pt idx="4">
                  <c:v>75</c:v>
                </c:pt>
                <c:pt idx="5">
                  <c:v>20</c:v>
                </c:pt>
                <c:pt idx="6">
                  <c:v>39</c:v>
                </c:pt>
                <c:pt idx="7">
                  <c:v>50</c:v>
                </c:pt>
                <c:pt idx="8">
                  <c:v>18</c:v>
                </c:pt>
                <c:pt idx="9">
                  <c:v>31</c:v>
                </c:pt>
                <c:pt idx="10">
                  <c:v>18</c:v>
                </c:pt>
                <c:pt idx="11">
                  <c:v>48</c:v>
                </c:pt>
                <c:pt idx="12">
                  <c:v>55</c:v>
                </c:pt>
                <c:pt idx="13">
                  <c:v>375</c:v>
                </c:pt>
                <c:pt idx="14">
                  <c:v>56</c:v>
                </c:pt>
                <c:pt idx="15">
                  <c:v>38</c:v>
                </c:pt>
                <c:pt idx="16">
                  <c:v>100</c:v>
                </c:pt>
                <c:pt idx="17">
                  <c:v>42</c:v>
                </c:pt>
                <c:pt idx="18">
                  <c:v>35</c:v>
                </c:pt>
                <c:pt idx="19">
                  <c:v>440</c:v>
                </c:pt>
                <c:pt idx="20">
                  <c:v>39</c:v>
                </c:pt>
                <c:pt idx="21">
                  <c:v>35</c:v>
                </c:pt>
                <c:pt idx="22">
                  <c:v>38</c:v>
                </c:pt>
                <c:pt idx="23">
                  <c:v>53</c:v>
                </c:pt>
                <c:pt idx="24">
                  <c:v>20</c:v>
                </c:pt>
                <c:pt idx="25">
                  <c:v>25</c:v>
                </c:pt>
                <c:pt idx="26">
                  <c:v>20</c:v>
                </c:pt>
                <c:pt idx="27">
                  <c:v>29</c:v>
                </c:pt>
                <c:pt idx="28">
                  <c:v>90</c:v>
                </c:pt>
                <c:pt idx="29">
                  <c:v>125</c:v>
                </c:pt>
                <c:pt idx="30">
                  <c:v>55</c:v>
                </c:pt>
                <c:pt idx="31">
                  <c:v>25</c:v>
                </c:pt>
                <c:pt idx="32">
                  <c:v>25</c:v>
                </c:pt>
                <c:pt idx="33">
                  <c:v>32</c:v>
                </c:pt>
                <c:pt idx="34">
                  <c:v>10</c:v>
                </c:pt>
                <c:pt idx="35">
                  <c:v>180</c:v>
                </c:pt>
                <c:pt idx="36">
                  <c:v>27</c:v>
                </c:pt>
                <c:pt idx="37">
                  <c:v>147</c:v>
                </c:pt>
                <c:pt idx="38">
                  <c:v>38</c:v>
                </c:pt>
                <c:pt idx="39">
                  <c:v>57</c:v>
                </c:pt>
                <c:pt idx="40">
                  <c:v>22</c:v>
                </c:pt>
                <c:pt idx="41">
                  <c:v>19</c:v>
                </c:pt>
                <c:pt idx="42">
                  <c:v>72</c:v>
                </c:pt>
                <c:pt idx="43">
                  <c:v>150</c:v>
                </c:pt>
                <c:pt idx="44">
                  <c:v>60</c:v>
                </c:pt>
                <c:pt idx="45">
                  <c:v>17</c:v>
                </c:pt>
                <c:pt idx="46">
                  <c:v>55</c:v>
                </c:pt>
                <c:pt idx="47">
                  <c:v>18</c:v>
                </c:pt>
                <c:pt idx="48">
                  <c:v>19</c:v>
                </c:pt>
                <c:pt idx="49">
                  <c:v>109</c:v>
                </c:pt>
                <c:pt idx="50">
                  <c:v>12</c:v>
                </c:pt>
                <c:pt idx="51">
                  <c:v>35</c:v>
                </c:pt>
                <c:pt idx="52">
                  <c:v>20</c:v>
                </c:pt>
                <c:pt idx="53">
                  <c:v>210</c:v>
                </c:pt>
                <c:pt idx="54">
                  <c:v>21</c:v>
                </c:pt>
                <c:pt idx="55">
                  <c:v>37</c:v>
                </c:pt>
                <c:pt idx="56">
                  <c:v>16</c:v>
                </c:pt>
                <c:pt idx="57">
                  <c:v>58</c:v>
                </c:pt>
                <c:pt idx="58">
                  <c:v>75</c:v>
                </c:pt>
                <c:pt idx="59">
                  <c:v>39</c:v>
                </c:pt>
                <c:pt idx="60">
                  <c:v>300</c:v>
                </c:pt>
                <c:pt idx="61">
                  <c:v>35</c:v>
                </c:pt>
                <c:pt idx="62">
                  <c:v>22</c:v>
                </c:pt>
                <c:pt idx="63">
                  <c:v>90</c:v>
                </c:pt>
                <c:pt idx="64">
                  <c:v>95</c:v>
                </c:pt>
                <c:pt idx="65">
                  <c:v>21</c:v>
                </c:pt>
                <c:pt idx="66">
                  <c:v>10</c:v>
                </c:pt>
                <c:pt idx="67">
                  <c:v>25</c:v>
                </c:pt>
                <c:pt idx="68">
                  <c:v>29</c:v>
                </c:pt>
                <c:pt idx="69">
                  <c:v>23</c:v>
                </c:pt>
                <c:pt idx="70">
                  <c:v>90</c:v>
                </c:pt>
                <c:pt idx="71">
                  <c:v>18</c:v>
                </c:pt>
                <c:pt idx="72">
                  <c:v>54</c:v>
                </c:pt>
                <c:pt idx="73">
                  <c:v>62</c:v>
                </c:pt>
                <c:pt idx="74">
                  <c:v>21</c:v>
                </c:pt>
                <c:pt idx="75">
                  <c:v>37</c:v>
                </c:pt>
                <c:pt idx="76">
                  <c:v>24</c:v>
                </c:pt>
                <c:pt idx="77">
                  <c:v>52</c:v>
                </c:pt>
                <c:pt idx="78">
                  <c:v>55</c:v>
                </c:pt>
                <c:pt idx="79">
                  <c:v>440</c:v>
                </c:pt>
                <c:pt idx="80">
                  <c:v>105</c:v>
                </c:pt>
                <c:pt idx="81">
                  <c:v>40</c:v>
                </c:pt>
                <c:pt idx="82">
                  <c:v>120</c:v>
                </c:pt>
                <c:pt idx="83">
                  <c:v>26</c:v>
                </c:pt>
                <c:pt idx="84">
                  <c:v>28</c:v>
                </c:pt>
                <c:pt idx="85">
                  <c:v>150</c:v>
                </c:pt>
                <c:pt idx="86">
                  <c:v>37</c:v>
                </c:pt>
                <c:pt idx="87">
                  <c:v>43</c:v>
                </c:pt>
                <c:pt idx="88">
                  <c:v>120</c:v>
                </c:pt>
                <c:pt idx="89">
                  <c:v>25</c:v>
                </c:pt>
                <c:pt idx="90">
                  <c:v>25</c:v>
                </c:pt>
                <c:pt idx="91">
                  <c:v>40</c:v>
                </c:pt>
                <c:pt idx="92">
                  <c:v>57</c:v>
                </c:pt>
                <c:pt idx="93">
                  <c:v>27</c:v>
                </c:pt>
                <c:pt idx="94">
                  <c:v>19</c:v>
                </c:pt>
                <c:pt idx="95">
                  <c:v>15</c:v>
                </c:pt>
                <c:pt idx="96">
                  <c:v>13</c:v>
                </c:pt>
                <c:pt idx="97">
                  <c:v>69</c:v>
                </c:pt>
                <c:pt idx="98">
                  <c:v>13</c:v>
                </c:pt>
                <c:pt idx="99">
                  <c:v>50</c:v>
                </c:pt>
              </c:numCache>
            </c:numRef>
          </c:xVal>
          <c:yVal>
            <c:numRef>
              <c:f>'Q2'!$D$2:$D$101</c:f>
              <c:numCache>
                <c:formatCode>General</c:formatCode>
                <c:ptCount val="100"/>
                <c:pt idx="0">
                  <c:v>91</c:v>
                </c:pt>
                <c:pt idx="1">
                  <c:v>90</c:v>
                </c:pt>
                <c:pt idx="2">
                  <c:v>80</c:v>
                </c:pt>
                <c:pt idx="3">
                  <c:v>93</c:v>
                </c:pt>
                <c:pt idx="4">
                  <c:v>91</c:v>
                </c:pt>
                <c:pt idx="5">
                  <c:v>83</c:v>
                </c:pt>
                <c:pt idx="6">
                  <c:v>87</c:v>
                </c:pt>
                <c:pt idx="7">
                  <c:v>91</c:v>
                </c:pt>
                <c:pt idx="8">
                  <c:v>87</c:v>
                </c:pt>
                <c:pt idx="9">
                  <c:v>88</c:v>
                </c:pt>
                <c:pt idx="10">
                  <c:v>84</c:v>
                </c:pt>
                <c:pt idx="11">
                  <c:v>93</c:v>
                </c:pt>
                <c:pt idx="12">
                  <c:v>92</c:v>
                </c:pt>
                <c:pt idx="13">
                  <c:v>98</c:v>
                </c:pt>
                <c:pt idx="14">
                  <c:v>91</c:v>
                </c:pt>
                <c:pt idx="15">
                  <c:v>90</c:v>
                </c:pt>
                <c:pt idx="16">
                  <c:v>93</c:v>
                </c:pt>
                <c:pt idx="17">
                  <c:v>92</c:v>
                </c:pt>
                <c:pt idx="18">
                  <c:v>89</c:v>
                </c:pt>
                <c:pt idx="19">
                  <c:v>97</c:v>
                </c:pt>
                <c:pt idx="20">
                  <c:v>89</c:v>
                </c:pt>
                <c:pt idx="21">
                  <c:v>87</c:v>
                </c:pt>
                <c:pt idx="22">
                  <c:v>86</c:v>
                </c:pt>
                <c:pt idx="23">
                  <c:v>88</c:v>
                </c:pt>
                <c:pt idx="24">
                  <c:v>88</c:v>
                </c:pt>
                <c:pt idx="25">
                  <c:v>89</c:v>
                </c:pt>
                <c:pt idx="26">
                  <c:v>84</c:v>
                </c:pt>
                <c:pt idx="27">
                  <c:v>82</c:v>
                </c:pt>
                <c:pt idx="28">
                  <c:v>91</c:v>
                </c:pt>
                <c:pt idx="29">
                  <c:v>91</c:v>
                </c:pt>
                <c:pt idx="30">
                  <c:v>90</c:v>
                </c:pt>
                <c:pt idx="31">
                  <c:v>92</c:v>
                </c:pt>
                <c:pt idx="32">
                  <c:v>93</c:v>
                </c:pt>
                <c:pt idx="33">
                  <c:v>89</c:v>
                </c:pt>
                <c:pt idx="34">
                  <c:v>84</c:v>
                </c:pt>
                <c:pt idx="35">
                  <c:v>97</c:v>
                </c:pt>
                <c:pt idx="36">
                  <c:v>90</c:v>
                </c:pt>
                <c:pt idx="37">
                  <c:v>92</c:v>
                </c:pt>
                <c:pt idx="38">
                  <c:v>89</c:v>
                </c:pt>
                <c:pt idx="39">
                  <c:v>89</c:v>
                </c:pt>
                <c:pt idx="40">
                  <c:v>89</c:v>
                </c:pt>
                <c:pt idx="41">
                  <c:v>87</c:v>
                </c:pt>
                <c:pt idx="42">
                  <c:v>94</c:v>
                </c:pt>
                <c:pt idx="43">
                  <c:v>94</c:v>
                </c:pt>
                <c:pt idx="44">
                  <c:v>93</c:v>
                </c:pt>
                <c:pt idx="45">
                  <c:v>88</c:v>
                </c:pt>
                <c:pt idx="46">
                  <c:v>88</c:v>
                </c:pt>
                <c:pt idx="47">
                  <c:v>86</c:v>
                </c:pt>
                <c:pt idx="48">
                  <c:v>88</c:v>
                </c:pt>
                <c:pt idx="49">
                  <c:v>91</c:v>
                </c:pt>
                <c:pt idx="50">
                  <c:v>87</c:v>
                </c:pt>
                <c:pt idx="51">
                  <c:v>89</c:v>
                </c:pt>
                <c:pt idx="52">
                  <c:v>89</c:v>
                </c:pt>
                <c:pt idx="53">
                  <c:v>93</c:v>
                </c:pt>
                <c:pt idx="54">
                  <c:v>78</c:v>
                </c:pt>
                <c:pt idx="55">
                  <c:v>93</c:v>
                </c:pt>
                <c:pt idx="56">
                  <c:v>89</c:v>
                </c:pt>
                <c:pt idx="57">
                  <c:v>88</c:v>
                </c:pt>
                <c:pt idx="58">
                  <c:v>92</c:v>
                </c:pt>
                <c:pt idx="59">
                  <c:v>88</c:v>
                </c:pt>
                <c:pt idx="60">
                  <c:v>96</c:v>
                </c:pt>
                <c:pt idx="61">
                  <c:v>90</c:v>
                </c:pt>
                <c:pt idx="62">
                  <c:v>90</c:v>
                </c:pt>
                <c:pt idx="63">
                  <c:v>92</c:v>
                </c:pt>
                <c:pt idx="64">
                  <c:v>93</c:v>
                </c:pt>
                <c:pt idx="65">
                  <c:v>89</c:v>
                </c:pt>
                <c:pt idx="66">
                  <c:v>83</c:v>
                </c:pt>
                <c:pt idx="67">
                  <c:v>86</c:v>
                </c:pt>
                <c:pt idx="68">
                  <c:v>90</c:v>
                </c:pt>
                <c:pt idx="69">
                  <c:v>89</c:v>
                </c:pt>
                <c:pt idx="70">
                  <c:v>96</c:v>
                </c:pt>
                <c:pt idx="71">
                  <c:v>88</c:v>
                </c:pt>
                <c:pt idx="72">
                  <c:v>89</c:v>
                </c:pt>
                <c:pt idx="73">
                  <c:v>96</c:v>
                </c:pt>
                <c:pt idx="74">
                  <c:v>88</c:v>
                </c:pt>
                <c:pt idx="75">
                  <c:v>88</c:v>
                </c:pt>
                <c:pt idx="76">
                  <c:v>86</c:v>
                </c:pt>
                <c:pt idx="77">
                  <c:v>91</c:v>
                </c:pt>
                <c:pt idx="78">
                  <c:v>88</c:v>
                </c:pt>
                <c:pt idx="79">
                  <c:v>95</c:v>
                </c:pt>
                <c:pt idx="80">
                  <c:v>90</c:v>
                </c:pt>
                <c:pt idx="81">
                  <c:v>89</c:v>
                </c:pt>
                <c:pt idx="82">
                  <c:v>92</c:v>
                </c:pt>
                <c:pt idx="83">
                  <c:v>90</c:v>
                </c:pt>
                <c:pt idx="84">
                  <c:v>88</c:v>
                </c:pt>
                <c:pt idx="85">
                  <c:v>93</c:v>
                </c:pt>
                <c:pt idx="86">
                  <c:v>91</c:v>
                </c:pt>
                <c:pt idx="87">
                  <c:v>89</c:v>
                </c:pt>
                <c:pt idx="88">
                  <c:v>91</c:v>
                </c:pt>
                <c:pt idx="89">
                  <c:v>87</c:v>
                </c:pt>
                <c:pt idx="90">
                  <c:v>88</c:v>
                </c:pt>
                <c:pt idx="91">
                  <c:v>90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87</c:v>
                </c:pt>
                <c:pt idx="96">
                  <c:v>88</c:v>
                </c:pt>
                <c:pt idx="97">
                  <c:v>92</c:v>
                </c:pt>
                <c:pt idx="98">
                  <c:v>87</c:v>
                </c:pt>
                <c:pt idx="9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2-491E-88DA-0FF5AAEBD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27551"/>
        <c:axId val="108235231"/>
      </c:scatterChart>
      <c:valAx>
        <c:axId val="10822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5231"/>
        <c:crosses val="autoZero"/>
        <c:crossBetween val="midCat"/>
      </c:valAx>
      <c:valAx>
        <c:axId val="1082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and Price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'Q2'!$D$1</c:f>
              <c:strCache>
                <c:ptCount val="1"/>
                <c:pt idx="0">
                  <c:v>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7803466056104688E-2"/>
                  <c:y val="-0.159433508311461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'Q2'!$C$2:$C$101</c:f>
              <c:numCache>
                <c:formatCode>General</c:formatCode>
                <c:ptCount val="100"/>
                <c:pt idx="0">
                  <c:v>52</c:v>
                </c:pt>
                <c:pt idx="1">
                  <c:v>30</c:v>
                </c:pt>
                <c:pt idx="2">
                  <c:v>10</c:v>
                </c:pt>
                <c:pt idx="3">
                  <c:v>120</c:v>
                </c:pt>
                <c:pt idx="4">
                  <c:v>75</c:v>
                </c:pt>
                <c:pt idx="5">
                  <c:v>20</c:v>
                </c:pt>
                <c:pt idx="6">
                  <c:v>39</c:v>
                </c:pt>
                <c:pt idx="7">
                  <c:v>50</c:v>
                </c:pt>
                <c:pt idx="8">
                  <c:v>18</c:v>
                </c:pt>
                <c:pt idx="9">
                  <c:v>31</c:v>
                </c:pt>
                <c:pt idx="10">
                  <c:v>18</c:v>
                </c:pt>
                <c:pt idx="11">
                  <c:v>48</c:v>
                </c:pt>
                <c:pt idx="12">
                  <c:v>55</c:v>
                </c:pt>
                <c:pt idx="13">
                  <c:v>375</c:v>
                </c:pt>
                <c:pt idx="14">
                  <c:v>56</c:v>
                </c:pt>
                <c:pt idx="15">
                  <c:v>38</c:v>
                </c:pt>
                <c:pt idx="16">
                  <c:v>100</c:v>
                </c:pt>
                <c:pt idx="17">
                  <c:v>42</c:v>
                </c:pt>
                <c:pt idx="18">
                  <c:v>35</c:v>
                </c:pt>
                <c:pt idx="19">
                  <c:v>440</c:v>
                </c:pt>
                <c:pt idx="20">
                  <c:v>39</c:v>
                </c:pt>
                <c:pt idx="21">
                  <c:v>35</c:v>
                </c:pt>
                <c:pt idx="22">
                  <c:v>38</c:v>
                </c:pt>
                <c:pt idx="23">
                  <c:v>53</c:v>
                </c:pt>
                <c:pt idx="24">
                  <c:v>20</c:v>
                </c:pt>
                <c:pt idx="25">
                  <c:v>25</c:v>
                </c:pt>
                <c:pt idx="26">
                  <c:v>20</c:v>
                </c:pt>
                <c:pt idx="27">
                  <c:v>29</c:v>
                </c:pt>
                <c:pt idx="28">
                  <c:v>90</c:v>
                </c:pt>
                <c:pt idx="29">
                  <c:v>125</c:v>
                </c:pt>
                <c:pt idx="30">
                  <c:v>55</c:v>
                </c:pt>
                <c:pt idx="31">
                  <c:v>25</c:v>
                </c:pt>
                <c:pt idx="32">
                  <c:v>25</c:v>
                </c:pt>
                <c:pt idx="33">
                  <c:v>32</c:v>
                </c:pt>
                <c:pt idx="34">
                  <c:v>10</c:v>
                </c:pt>
                <c:pt idx="35">
                  <c:v>180</c:v>
                </c:pt>
                <c:pt idx="36">
                  <c:v>27</c:v>
                </c:pt>
                <c:pt idx="37">
                  <c:v>147</c:v>
                </c:pt>
                <c:pt idx="38">
                  <c:v>38</c:v>
                </c:pt>
                <c:pt idx="39">
                  <c:v>57</c:v>
                </c:pt>
                <c:pt idx="40">
                  <c:v>22</c:v>
                </c:pt>
                <c:pt idx="41">
                  <c:v>19</c:v>
                </c:pt>
                <c:pt idx="42">
                  <c:v>72</c:v>
                </c:pt>
                <c:pt idx="43">
                  <c:v>150</c:v>
                </c:pt>
                <c:pt idx="44">
                  <c:v>60</c:v>
                </c:pt>
                <c:pt idx="45">
                  <c:v>17</c:v>
                </c:pt>
                <c:pt idx="46">
                  <c:v>55</c:v>
                </c:pt>
                <c:pt idx="47">
                  <c:v>18</c:v>
                </c:pt>
                <c:pt idx="48">
                  <c:v>19</c:v>
                </c:pt>
                <c:pt idx="49">
                  <c:v>109</c:v>
                </c:pt>
                <c:pt idx="50">
                  <c:v>12</c:v>
                </c:pt>
                <c:pt idx="51">
                  <c:v>35</c:v>
                </c:pt>
                <c:pt idx="52">
                  <c:v>20</c:v>
                </c:pt>
                <c:pt idx="53">
                  <c:v>210</c:v>
                </c:pt>
                <c:pt idx="54">
                  <c:v>21</c:v>
                </c:pt>
                <c:pt idx="55">
                  <c:v>37</c:v>
                </c:pt>
                <c:pt idx="56">
                  <c:v>16</c:v>
                </c:pt>
                <c:pt idx="57">
                  <c:v>58</c:v>
                </c:pt>
                <c:pt idx="58">
                  <c:v>75</c:v>
                </c:pt>
                <c:pt idx="59">
                  <c:v>39</c:v>
                </c:pt>
                <c:pt idx="60">
                  <c:v>300</c:v>
                </c:pt>
                <c:pt idx="61">
                  <c:v>35</c:v>
                </c:pt>
                <c:pt idx="62">
                  <c:v>22</c:v>
                </c:pt>
                <c:pt idx="63">
                  <c:v>90</c:v>
                </c:pt>
                <c:pt idx="64">
                  <c:v>95</c:v>
                </c:pt>
                <c:pt idx="65">
                  <c:v>21</c:v>
                </c:pt>
                <c:pt idx="66">
                  <c:v>10</c:v>
                </c:pt>
                <c:pt idx="67">
                  <c:v>25</c:v>
                </c:pt>
                <c:pt idx="68">
                  <c:v>29</c:v>
                </c:pt>
                <c:pt idx="69">
                  <c:v>23</c:v>
                </c:pt>
                <c:pt idx="70">
                  <c:v>90</c:v>
                </c:pt>
                <c:pt idx="71">
                  <c:v>18</c:v>
                </c:pt>
                <c:pt idx="72">
                  <c:v>54</c:v>
                </c:pt>
                <c:pt idx="73">
                  <c:v>62</c:v>
                </c:pt>
                <c:pt idx="74">
                  <c:v>21</c:v>
                </c:pt>
                <c:pt idx="75">
                  <c:v>37</c:v>
                </c:pt>
                <c:pt idx="76">
                  <c:v>24</c:v>
                </c:pt>
                <c:pt idx="77">
                  <c:v>52</c:v>
                </c:pt>
                <c:pt idx="78">
                  <c:v>55</c:v>
                </c:pt>
                <c:pt idx="79">
                  <c:v>440</c:v>
                </c:pt>
                <c:pt idx="80">
                  <c:v>105</c:v>
                </c:pt>
                <c:pt idx="81">
                  <c:v>40</c:v>
                </c:pt>
                <c:pt idx="82">
                  <c:v>120</c:v>
                </c:pt>
                <c:pt idx="83">
                  <c:v>26</c:v>
                </c:pt>
                <c:pt idx="84">
                  <c:v>28</c:v>
                </c:pt>
                <c:pt idx="85">
                  <c:v>150</c:v>
                </c:pt>
                <c:pt idx="86">
                  <c:v>37</c:v>
                </c:pt>
                <c:pt idx="87">
                  <c:v>43</c:v>
                </c:pt>
                <c:pt idx="88">
                  <c:v>120</c:v>
                </c:pt>
                <c:pt idx="89">
                  <c:v>25</c:v>
                </c:pt>
                <c:pt idx="90">
                  <c:v>25</c:v>
                </c:pt>
                <c:pt idx="91">
                  <c:v>40</c:v>
                </c:pt>
                <c:pt idx="92">
                  <c:v>57</c:v>
                </c:pt>
                <c:pt idx="93">
                  <c:v>27</c:v>
                </c:pt>
                <c:pt idx="94">
                  <c:v>19</c:v>
                </c:pt>
                <c:pt idx="95">
                  <c:v>15</c:v>
                </c:pt>
                <c:pt idx="96">
                  <c:v>13</c:v>
                </c:pt>
                <c:pt idx="97">
                  <c:v>69</c:v>
                </c:pt>
                <c:pt idx="98">
                  <c:v>13</c:v>
                </c:pt>
                <c:pt idx="99">
                  <c:v>50</c:v>
                </c:pt>
              </c:numCache>
            </c:numRef>
          </c:xVal>
          <c:yVal>
            <c:numRef>
              <c:f>'Q2'!$D$2:$D$101</c:f>
              <c:numCache>
                <c:formatCode>General</c:formatCode>
                <c:ptCount val="100"/>
                <c:pt idx="0">
                  <c:v>91</c:v>
                </c:pt>
                <c:pt idx="1">
                  <c:v>90</c:v>
                </c:pt>
                <c:pt idx="2">
                  <c:v>80</c:v>
                </c:pt>
                <c:pt idx="3">
                  <c:v>93</c:v>
                </c:pt>
                <c:pt idx="4">
                  <c:v>91</c:v>
                </c:pt>
                <c:pt idx="5">
                  <c:v>83</c:v>
                </c:pt>
                <c:pt idx="6">
                  <c:v>87</c:v>
                </c:pt>
                <c:pt idx="7">
                  <c:v>91</c:v>
                </c:pt>
                <c:pt idx="8">
                  <c:v>87</c:v>
                </c:pt>
                <c:pt idx="9">
                  <c:v>88</c:v>
                </c:pt>
                <c:pt idx="10">
                  <c:v>84</c:v>
                </c:pt>
                <c:pt idx="11">
                  <c:v>93</c:v>
                </c:pt>
                <c:pt idx="12">
                  <c:v>92</c:v>
                </c:pt>
                <c:pt idx="13">
                  <c:v>98</c:v>
                </c:pt>
                <c:pt idx="14">
                  <c:v>91</c:v>
                </c:pt>
                <c:pt idx="15">
                  <c:v>90</c:v>
                </c:pt>
                <c:pt idx="16">
                  <c:v>93</c:v>
                </c:pt>
                <c:pt idx="17">
                  <c:v>92</c:v>
                </c:pt>
                <c:pt idx="18">
                  <c:v>89</c:v>
                </c:pt>
                <c:pt idx="19">
                  <c:v>97</c:v>
                </c:pt>
                <c:pt idx="20">
                  <c:v>89</c:v>
                </c:pt>
                <c:pt idx="21">
                  <c:v>87</c:v>
                </c:pt>
                <c:pt idx="22">
                  <c:v>86</c:v>
                </c:pt>
                <c:pt idx="23">
                  <c:v>88</c:v>
                </c:pt>
                <c:pt idx="24">
                  <c:v>88</c:v>
                </c:pt>
                <c:pt idx="25">
                  <c:v>89</c:v>
                </c:pt>
                <c:pt idx="26">
                  <c:v>84</c:v>
                </c:pt>
                <c:pt idx="27">
                  <c:v>82</c:v>
                </c:pt>
                <c:pt idx="28">
                  <c:v>91</c:v>
                </c:pt>
                <c:pt idx="29">
                  <c:v>91</c:v>
                </c:pt>
                <c:pt idx="30">
                  <c:v>90</c:v>
                </c:pt>
                <c:pt idx="31">
                  <c:v>92</c:v>
                </c:pt>
                <c:pt idx="32">
                  <c:v>93</c:v>
                </c:pt>
                <c:pt idx="33">
                  <c:v>89</c:v>
                </c:pt>
                <c:pt idx="34">
                  <c:v>84</c:v>
                </c:pt>
                <c:pt idx="35">
                  <c:v>97</c:v>
                </c:pt>
                <c:pt idx="36">
                  <c:v>90</c:v>
                </c:pt>
                <c:pt idx="37">
                  <c:v>92</c:v>
                </c:pt>
                <c:pt idx="38">
                  <c:v>89</c:v>
                </c:pt>
                <c:pt idx="39">
                  <c:v>89</c:v>
                </c:pt>
                <c:pt idx="40">
                  <c:v>89</c:v>
                </c:pt>
                <c:pt idx="41">
                  <c:v>87</c:v>
                </c:pt>
                <c:pt idx="42">
                  <c:v>94</c:v>
                </c:pt>
                <c:pt idx="43">
                  <c:v>94</c:v>
                </c:pt>
                <c:pt idx="44">
                  <c:v>93</c:v>
                </c:pt>
                <c:pt idx="45">
                  <c:v>88</c:v>
                </c:pt>
                <c:pt idx="46">
                  <c:v>88</c:v>
                </c:pt>
                <c:pt idx="47">
                  <c:v>86</c:v>
                </c:pt>
                <c:pt idx="48">
                  <c:v>88</c:v>
                </c:pt>
                <c:pt idx="49">
                  <c:v>91</c:v>
                </c:pt>
                <c:pt idx="50">
                  <c:v>87</c:v>
                </c:pt>
                <c:pt idx="51">
                  <c:v>89</c:v>
                </c:pt>
                <c:pt idx="52">
                  <c:v>89</c:v>
                </c:pt>
                <c:pt idx="53">
                  <c:v>93</c:v>
                </c:pt>
                <c:pt idx="54">
                  <c:v>78</c:v>
                </c:pt>
                <c:pt idx="55">
                  <c:v>93</c:v>
                </c:pt>
                <c:pt idx="56">
                  <c:v>89</c:v>
                </c:pt>
                <c:pt idx="57">
                  <c:v>88</c:v>
                </c:pt>
                <c:pt idx="58">
                  <c:v>92</c:v>
                </c:pt>
                <c:pt idx="59">
                  <c:v>88</c:v>
                </c:pt>
                <c:pt idx="60">
                  <c:v>96</c:v>
                </c:pt>
                <c:pt idx="61">
                  <c:v>90</c:v>
                </c:pt>
                <c:pt idx="62">
                  <c:v>90</c:v>
                </c:pt>
                <c:pt idx="63">
                  <c:v>92</c:v>
                </c:pt>
                <c:pt idx="64">
                  <c:v>93</c:v>
                </c:pt>
                <c:pt idx="65">
                  <c:v>89</c:v>
                </c:pt>
                <c:pt idx="66">
                  <c:v>83</c:v>
                </c:pt>
                <c:pt idx="67">
                  <c:v>86</c:v>
                </c:pt>
                <c:pt idx="68">
                  <c:v>90</c:v>
                </c:pt>
                <c:pt idx="69">
                  <c:v>89</c:v>
                </c:pt>
                <c:pt idx="70">
                  <c:v>96</c:v>
                </c:pt>
                <c:pt idx="71">
                  <c:v>88</c:v>
                </c:pt>
                <c:pt idx="72">
                  <c:v>89</c:v>
                </c:pt>
                <c:pt idx="73">
                  <c:v>96</c:v>
                </c:pt>
                <c:pt idx="74">
                  <c:v>88</c:v>
                </c:pt>
                <c:pt idx="75">
                  <c:v>88</c:v>
                </c:pt>
                <c:pt idx="76">
                  <c:v>86</c:v>
                </c:pt>
                <c:pt idx="77">
                  <c:v>91</c:v>
                </c:pt>
                <c:pt idx="78">
                  <c:v>88</c:v>
                </c:pt>
                <c:pt idx="79">
                  <c:v>95</c:v>
                </c:pt>
                <c:pt idx="80">
                  <c:v>90</c:v>
                </c:pt>
                <c:pt idx="81">
                  <c:v>89</c:v>
                </c:pt>
                <c:pt idx="82">
                  <c:v>92</c:v>
                </c:pt>
                <c:pt idx="83">
                  <c:v>90</c:v>
                </c:pt>
                <c:pt idx="84">
                  <c:v>88</c:v>
                </c:pt>
                <c:pt idx="85">
                  <c:v>93</c:v>
                </c:pt>
                <c:pt idx="86">
                  <c:v>91</c:v>
                </c:pt>
                <c:pt idx="87">
                  <c:v>89</c:v>
                </c:pt>
                <c:pt idx="88">
                  <c:v>91</c:v>
                </c:pt>
                <c:pt idx="89">
                  <c:v>87</c:v>
                </c:pt>
                <c:pt idx="90">
                  <c:v>88</c:v>
                </c:pt>
                <c:pt idx="91">
                  <c:v>90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87</c:v>
                </c:pt>
                <c:pt idx="96">
                  <c:v>88</c:v>
                </c:pt>
                <c:pt idx="97">
                  <c:v>92</c:v>
                </c:pt>
                <c:pt idx="98">
                  <c:v>87</c:v>
                </c:pt>
                <c:pt idx="9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8-45AC-97B0-638CB6CAE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27551"/>
        <c:axId val="108235231"/>
      </c:scatterChart>
      <c:valAx>
        <c:axId val="10822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5231"/>
        <c:crosses val="autoZero"/>
        <c:crossBetween val="midCat"/>
      </c:valAx>
      <c:valAx>
        <c:axId val="1082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and Price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'Q2'!$D$1</c:f>
              <c:strCache>
                <c:ptCount val="1"/>
                <c:pt idx="0">
                  <c:v>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7803466056104688E-2"/>
                  <c:y val="-0.159433508311461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'Q2'!$C$2:$C$101</c:f>
              <c:numCache>
                <c:formatCode>General</c:formatCode>
                <c:ptCount val="100"/>
                <c:pt idx="0">
                  <c:v>52</c:v>
                </c:pt>
                <c:pt idx="1">
                  <c:v>30</c:v>
                </c:pt>
                <c:pt idx="2">
                  <c:v>10</c:v>
                </c:pt>
                <c:pt idx="3">
                  <c:v>120</c:v>
                </c:pt>
                <c:pt idx="4">
                  <c:v>75</c:v>
                </c:pt>
                <c:pt idx="5">
                  <c:v>20</c:v>
                </c:pt>
                <c:pt idx="6">
                  <c:v>39</c:v>
                </c:pt>
                <c:pt idx="7">
                  <c:v>50</c:v>
                </c:pt>
                <c:pt idx="8">
                  <c:v>18</c:v>
                </c:pt>
                <c:pt idx="9">
                  <c:v>31</c:v>
                </c:pt>
                <c:pt idx="10">
                  <c:v>18</c:v>
                </c:pt>
                <c:pt idx="11">
                  <c:v>48</c:v>
                </c:pt>
                <c:pt idx="12">
                  <c:v>55</c:v>
                </c:pt>
                <c:pt idx="13">
                  <c:v>375</c:v>
                </c:pt>
                <c:pt idx="14">
                  <c:v>56</c:v>
                </c:pt>
                <c:pt idx="15">
                  <c:v>38</c:v>
                </c:pt>
                <c:pt idx="16">
                  <c:v>100</c:v>
                </c:pt>
                <c:pt idx="17">
                  <c:v>42</c:v>
                </c:pt>
                <c:pt idx="18">
                  <c:v>35</c:v>
                </c:pt>
                <c:pt idx="19">
                  <c:v>440</c:v>
                </c:pt>
                <c:pt idx="20">
                  <c:v>39</c:v>
                </c:pt>
                <c:pt idx="21">
                  <c:v>35</c:v>
                </c:pt>
                <c:pt idx="22">
                  <c:v>38</c:v>
                </c:pt>
                <c:pt idx="23">
                  <c:v>53</c:v>
                </c:pt>
                <c:pt idx="24">
                  <c:v>20</c:v>
                </c:pt>
                <c:pt idx="25">
                  <c:v>25</c:v>
                </c:pt>
                <c:pt idx="26">
                  <c:v>20</c:v>
                </c:pt>
                <c:pt idx="27">
                  <c:v>29</c:v>
                </c:pt>
                <c:pt idx="28">
                  <c:v>90</c:v>
                </c:pt>
                <c:pt idx="29">
                  <c:v>125</c:v>
                </c:pt>
                <c:pt idx="30">
                  <c:v>55</c:v>
                </c:pt>
                <c:pt idx="31">
                  <c:v>25</c:v>
                </c:pt>
                <c:pt idx="32">
                  <c:v>25</c:v>
                </c:pt>
                <c:pt idx="33">
                  <c:v>32</c:v>
                </c:pt>
                <c:pt idx="34">
                  <c:v>10</c:v>
                </c:pt>
                <c:pt idx="35">
                  <c:v>180</c:v>
                </c:pt>
                <c:pt idx="36">
                  <c:v>27</c:v>
                </c:pt>
                <c:pt idx="37">
                  <c:v>147</c:v>
                </c:pt>
                <c:pt idx="38">
                  <c:v>38</c:v>
                </c:pt>
                <c:pt idx="39">
                  <c:v>57</c:v>
                </c:pt>
                <c:pt idx="40">
                  <c:v>22</c:v>
                </c:pt>
                <c:pt idx="41">
                  <c:v>19</c:v>
                </c:pt>
                <c:pt idx="42">
                  <c:v>72</c:v>
                </c:pt>
                <c:pt idx="43">
                  <c:v>150</c:v>
                </c:pt>
                <c:pt idx="44">
                  <c:v>60</c:v>
                </c:pt>
                <c:pt idx="45">
                  <c:v>17</c:v>
                </c:pt>
                <c:pt idx="46">
                  <c:v>55</c:v>
                </c:pt>
                <c:pt idx="47">
                  <c:v>18</c:v>
                </c:pt>
                <c:pt idx="48">
                  <c:v>19</c:v>
                </c:pt>
                <c:pt idx="49">
                  <c:v>109</c:v>
                </c:pt>
                <c:pt idx="50">
                  <c:v>12</c:v>
                </c:pt>
                <c:pt idx="51">
                  <c:v>35</c:v>
                </c:pt>
                <c:pt idx="52">
                  <c:v>20</c:v>
                </c:pt>
                <c:pt idx="53">
                  <c:v>210</c:v>
                </c:pt>
                <c:pt idx="54">
                  <c:v>21</c:v>
                </c:pt>
                <c:pt idx="55">
                  <c:v>37</c:v>
                </c:pt>
                <c:pt idx="56">
                  <c:v>16</c:v>
                </c:pt>
                <c:pt idx="57">
                  <c:v>58</c:v>
                </c:pt>
                <c:pt idx="58">
                  <c:v>75</c:v>
                </c:pt>
                <c:pt idx="59">
                  <c:v>39</c:v>
                </c:pt>
                <c:pt idx="60">
                  <c:v>300</c:v>
                </c:pt>
                <c:pt idx="61">
                  <c:v>35</c:v>
                </c:pt>
                <c:pt idx="62">
                  <c:v>22</c:v>
                </c:pt>
                <c:pt idx="63">
                  <c:v>90</c:v>
                </c:pt>
                <c:pt idx="64">
                  <c:v>95</c:v>
                </c:pt>
                <c:pt idx="65">
                  <c:v>21</c:v>
                </c:pt>
                <c:pt idx="66">
                  <c:v>10</c:v>
                </c:pt>
                <c:pt idx="67">
                  <c:v>25</c:v>
                </c:pt>
                <c:pt idx="68">
                  <c:v>29</c:v>
                </c:pt>
                <c:pt idx="69">
                  <c:v>23</c:v>
                </c:pt>
                <c:pt idx="70">
                  <c:v>90</c:v>
                </c:pt>
                <c:pt idx="71">
                  <c:v>18</c:v>
                </c:pt>
                <c:pt idx="72">
                  <c:v>54</c:v>
                </c:pt>
                <c:pt idx="73">
                  <c:v>62</c:v>
                </c:pt>
                <c:pt idx="74">
                  <c:v>21</c:v>
                </c:pt>
                <c:pt idx="75">
                  <c:v>37</c:v>
                </c:pt>
                <c:pt idx="76">
                  <c:v>24</c:v>
                </c:pt>
                <c:pt idx="77">
                  <c:v>52</c:v>
                </c:pt>
                <c:pt idx="78">
                  <c:v>55</c:v>
                </c:pt>
                <c:pt idx="79">
                  <c:v>440</c:v>
                </c:pt>
                <c:pt idx="80">
                  <c:v>105</c:v>
                </c:pt>
                <c:pt idx="81">
                  <c:v>40</c:v>
                </c:pt>
                <c:pt idx="82">
                  <c:v>120</c:v>
                </c:pt>
                <c:pt idx="83">
                  <c:v>26</c:v>
                </c:pt>
                <c:pt idx="84">
                  <c:v>28</c:v>
                </c:pt>
                <c:pt idx="85">
                  <c:v>150</c:v>
                </c:pt>
                <c:pt idx="86">
                  <c:v>37</c:v>
                </c:pt>
                <c:pt idx="87">
                  <c:v>43</c:v>
                </c:pt>
                <c:pt idx="88">
                  <c:v>120</c:v>
                </c:pt>
                <c:pt idx="89">
                  <c:v>25</c:v>
                </c:pt>
                <c:pt idx="90">
                  <c:v>25</c:v>
                </c:pt>
                <c:pt idx="91">
                  <c:v>40</c:v>
                </c:pt>
                <c:pt idx="92">
                  <c:v>57</c:v>
                </c:pt>
                <c:pt idx="93">
                  <c:v>27</c:v>
                </c:pt>
                <c:pt idx="94">
                  <c:v>19</c:v>
                </c:pt>
                <c:pt idx="95">
                  <c:v>15</c:v>
                </c:pt>
                <c:pt idx="96">
                  <c:v>13</c:v>
                </c:pt>
                <c:pt idx="97">
                  <c:v>69</c:v>
                </c:pt>
                <c:pt idx="98">
                  <c:v>13</c:v>
                </c:pt>
                <c:pt idx="99">
                  <c:v>50</c:v>
                </c:pt>
              </c:numCache>
            </c:numRef>
          </c:xVal>
          <c:yVal>
            <c:numRef>
              <c:f>'Q2'!$D$2:$D$101</c:f>
              <c:numCache>
                <c:formatCode>General</c:formatCode>
                <c:ptCount val="100"/>
                <c:pt idx="0">
                  <c:v>91</c:v>
                </c:pt>
                <c:pt idx="1">
                  <c:v>90</c:v>
                </c:pt>
                <c:pt idx="2">
                  <c:v>80</c:v>
                </c:pt>
                <c:pt idx="3">
                  <c:v>93</c:v>
                </c:pt>
                <c:pt idx="4">
                  <c:v>91</c:v>
                </c:pt>
                <c:pt idx="5">
                  <c:v>83</c:v>
                </c:pt>
                <c:pt idx="6">
                  <c:v>87</c:v>
                </c:pt>
                <c:pt idx="7">
                  <c:v>91</c:v>
                </c:pt>
                <c:pt idx="8">
                  <c:v>87</c:v>
                </c:pt>
                <c:pt idx="9">
                  <c:v>88</c:v>
                </c:pt>
                <c:pt idx="10">
                  <c:v>84</c:v>
                </c:pt>
                <c:pt idx="11">
                  <c:v>93</c:v>
                </c:pt>
                <c:pt idx="12">
                  <c:v>92</c:v>
                </c:pt>
                <c:pt idx="13">
                  <c:v>98</c:v>
                </c:pt>
                <c:pt idx="14">
                  <c:v>91</c:v>
                </c:pt>
                <c:pt idx="15">
                  <c:v>90</c:v>
                </c:pt>
                <c:pt idx="16">
                  <c:v>93</c:v>
                </c:pt>
                <c:pt idx="17">
                  <c:v>92</c:v>
                </c:pt>
                <c:pt idx="18">
                  <c:v>89</c:v>
                </c:pt>
                <c:pt idx="19">
                  <c:v>97</c:v>
                </c:pt>
                <c:pt idx="20">
                  <c:v>89</c:v>
                </c:pt>
                <c:pt idx="21">
                  <c:v>87</c:v>
                </c:pt>
                <c:pt idx="22">
                  <c:v>86</c:v>
                </c:pt>
                <c:pt idx="23">
                  <c:v>88</c:v>
                </c:pt>
                <c:pt idx="24">
                  <c:v>88</c:v>
                </c:pt>
                <c:pt idx="25">
                  <c:v>89</c:v>
                </c:pt>
                <c:pt idx="26">
                  <c:v>84</c:v>
                </c:pt>
                <c:pt idx="27">
                  <c:v>82</c:v>
                </c:pt>
                <c:pt idx="28">
                  <c:v>91</c:v>
                </c:pt>
                <c:pt idx="29">
                  <c:v>91</c:v>
                </c:pt>
                <c:pt idx="30">
                  <c:v>90</c:v>
                </c:pt>
                <c:pt idx="31">
                  <c:v>92</c:v>
                </c:pt>
                <c:pt idx="32">
                  <c:v>93</c:v>
                </c:pt>
                <c:pt idx="33">
                  <c:v>89</c:v>
                </c:pt>
                <c:pt idx="34">
                  <c:v>84</c:v>
                </c:pt>
                <c:pt idx="35">
                  <c:v>97</c:v>
                </c:pt>
                <c:pt idx="36">
                  <c:v>90</c:v>
                </c:pt>
                <c:pt idx="37">
                  <c:v>92</c:v>
                </c:pt>
                <c:pt idx="38">
                  <c:v>89</c:v>
                </c:pt>
                <c:pt idx="39">
                  <c:v>89</c:v>
                </c:pt>
                <c:pt idx="40">
                  <c:v>89</c:v>
                </c:pt>
                <c:pt idx="41">
                  <c:v>87</c:v>
                </c:pt>
                <c:pt idx="42">
                  <c:v>94</c:v>
                </c:pt>
                <c:pt idx="43">
                  <c:v>94</c:v>
                </c:pt>
                <c:pt idx="44">
                  <c:v>93</c:v>
                </c:pt>
                <c:pt idx="45">
                  <c:v>88</c:v>
                </c:pt>
                <c:pt idx="46">
                  <c:v>88</c:v>
                </c:pt>
                <c:pt idx="47">
                  <c:v>86</c:v>
                </c:pt>
                <c:pt idx="48">
                  <c:v>88</c:v>
                </c:pt>
                <c:pt idx="49">
                  <c:v>91</c:v>
                </c:pt>
                <c:pt idx="50">
                  <c:v>87</c:v>
                </c:pt>
                <c:pt idx="51">
                  <c:v>89</c:v>
                </c:pt>
                <c:pt idx="52">
                  <c:v>89</c:v>
                </c:pt>
                <c:pt idx="53">
                  <c:v>93</c:v>
                </c:pt>
                <c:pt idx="54">
                  <c:v>78</c:v>
                </c:pt>
                <c:pt idx="55">
                  <c:v>93</c:v>
                </c:pt>
                <c:pt idx="56">
                  <c:v>89</c:v>
                </c:pt>
                <c:pt idx="57">
                  <c:v>88</c:v>
                </c:pt>
                <c:pt idx="58">
                  <c:v>92</c:v>
                </c:pt>
                <c:pt idx="59">
                  <c:v>88</c:v>
                </c:pt>
                <c:pt idx="60">
                  <c:v>96</c:v>
                </c:pt>
                <c:pt idx="61">
                  <c:v>90</c:v>
                </c:pt>
                <c:pt idx="62">
                  <c:v>90</c:v>
                </c:pt>
                <c:pt idx="63">
                  <c:v>92</c:v>
                </c:pt>
                <c:pt idx="64">
                  <c:v>93</c:v>
                </c:pt>
                <c:pt idx="65">
                  <c:v>89</c:v>
                </c:pt>
                <c:pt idx="66">
                  <c:v>83</c:v>
                </c:pt>
                <c:pt idx="67">
                  <c:v>86</c:v>
                </c:pt>
                <c:pt idx="68">
                  <c:v>90</c:v>
                </c:pt>
                <c:pt idx="69">
                  <c:v>89</c:v>
                </c:pt>
                <c:pt idx="70">
                  <c:v>96</c:v>
                </c:pt>
                <c:pt idx="71">
                  <c:v>88</c:v>
                </c:pt>
                <c:pt idx="72">
                  <c:v>89</c:v>
                </c:pt>
                <c:pt idx="73">
                  <c:v>96</c:v>
                </c:pt>
                <c:pt idx="74">
                  <c:v>88</c:v>
                </c:pt>
                <c:pt idx="75">
                  <c:v>88</c:v>
                </c:pt>
                <c:pt idx="76">
                  <c:v>86</c:v>
                </c:pt>
                <c:pt idx="77">
                  <c:v>91</c:v>
                </c:pt>
                <c:pt idx="78">
                  <c:v>88</c:v>
                </c:pt>
                <c:pt idx="79">
                  <c:v>95</c:v>
                </c:pt>
                <c:pt idx="80">
                  <c:v>90</c:v>
                </c:pt>
                <c:pt idx="81">
                  <c:v>89</c:v>
                </c:pt>
                <c:pt idx="82">
                  <c:v>92</c:v>
                </c:pt>
                <c:pt idx="83">
                  <c:v>90</c:v>
                </c:pt>
                <c:pt idx="84">
                  <c:v>88</c:v>
                </c:pt>
                <c:pt idx="85">
                  <c:v>93</c:v>
                </c:pt>
                <c:pt idx="86">
                  <c:v>91</c:v>
                </c:pt>
                <c:pt idx="87">
                  <c:v>89</c:v>
                </c:pt>
                <c:pt idx="88">
                  <c:v>91</c:v>
                </c:pt>
                <c:pt idx="89">
                  <c:v>87</c:v>
                </c:pt>
                <c:pt idx="90">
                  <c:v>88</c:v>
                </c:pt>
                <c:pt idx="91">
                  <c:v>90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87</c:v>
                </c:pt>
                <c:pt idx="96">
                  <c:v>88</c:v>
                </c:pt>
                <c:pt idx="97">
                  <c:v>92</c:v>
                </c:pt>
                <c:pt idx="98">
                  <c:v>87</c:v>
                </c:pt>
                <c:pt idx="9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22-41E2-A790-73A476BDE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27551"/>
        <c:axId val="108235231"/>
      </c:scatterChart>
      <c:valAx>
        <c:axId val="10822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5231"/>
        <c:crosses val="autoZero"/>
        <c:crossBetween val="midCat"/>
      </c:valAx>
      <c:valAx>
        <c:axId val="1082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and Price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'Q2'!$D$1</c:f>
              <c:strCache>
                <c:ptCount val="1"/>
                <c:pt idx="0">
                  <c:v>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4545131326669264"/>
                  <c:y val="-0.210418489355497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'Q2'!$C$2:$C$101</c:f>
              <c:numCache>
                <c:formatCode>General</c:formatCode>
                <c:ptCount val="100"/>
                <c:pt idx="0">
                  <c:v>52</c:v>
                </c:pt>
                <c:pt idx="1">
                  <c:v>30</c:v>
                </c:pt>
                <c:pt idx="2">
                  <c:v>10</c:v>
                </c:pt>
                <c:pt idx="3">
                  <c:v>120</c:v>
                </c:pt>
                <c:pt idx="4">
                  <c:v>75</c:v>
                </c:pt>
                <c:pt idx="5">
                  <c:v>20</c:v>
                </c:pt>
                <c:pt idx="6">
                  <c:v>39</c:v>
                </c:pt>
                <c:pt idx="7">
                  <c:v>50</c:v>
                </c:pt>
                <c:pt idx="8">
                  <c:v>18</c:v>
                </c:pt>
                <c:pt idx="9">
                  <c:v>31</c:v>
                </c:pt>
                <c:pt idx="10">
                  <c:v>18</c:v>
                </c:pt>
                <c:pt idx="11">
                  <c:v>48</c:v>
                </c:pt>
                <c:pt idx="12">
                  <c:v>55</c:v>
                </c:pt>
                <c:pt idx="13">
                  <c:v>375</c:v>
                </c:pt>
                <c:pt idx="14">
                  <c:v>56</c:v>
                </c:pt>
                <c:pt idx="15">
                  <c:v>38</c:v>
                </c:pt>
                <c:pt idx="16">
                  <c:v>100</c:v>
                </c:pt>
                <c:pt idx="17">
                  <c:v>42</c:v>
                </c:pt>
                <c:pt idx="18">
                  <c:v>35</c:v>
                </c:pt>
                <c:pt idx="19">
                  <c:v>440</c:v>
                </c:pt>
                <c:pt idx="20">
                  <c:v>39</c:v>
                </c:pt>
                <c:pt idx="21">
                  <c:v>35</c:v>
                </c:pt>
                <c:pt idx="22">
                  <c:v>38</c:v>
                </c:pt>
                <c:pt idx="23">
                  <c:v>53</c:v>
                </c:pt>
                <c:pt idx="24">
                  <c:v>20</c:v>
                </c:pt>
                <c:pt idx="25">
                  <c:v>25</c:v>
                </c:pt>
                <c:pt idx="26">
                  <c:v>20</c:v>
                </c:pt>
                <c:pt idx="27">
                  <c:v>29</c:v>
                </c:pt>
                <c:pt idx="28">
                  <c:v>90</c:v>
                </c:pt>
                <c:pt idx="29">
                  <c:v>125</c:v>
                </c:pt>
                <c:pt idx="30">
                  <c:v>55</c:v>
                </c:pt>
                <c:pt idx="31">
                  <c:v>25</c:v>
                </c:pt>
                <c:pt idx="32">
                  <c:v>25</c:v>
                </c:pt>
                <c:pt idx="33">
                  <c:v>32</c:v>
                </c:pt>
                <c:pt idx="34">
                  <c:v>10</c:v>
                </c:pt>
                <c:pt idx="35">
                  <c:v>180</c:v>
                </c:pt>
                <c:pt idx="36">
                  <c:v>27</c:v>
                </c:pt>
                <c:pt idx="37">
                  <c:v>147</c:v>
                </c:pt>
                <c:pt idx="38">
                  <c:v>38</c:v>
                </c:pt>
                <c:pt idx="39">
                  <c:v>57</c:v>
                </c:pt>
                <c:pt idx="40">
                  <c:v>22</c:v>
                </c:pt>
                <c:pt idx="41">
                  <c:v>19</c:v>
                </c:pt>
                <c:pt idx="42">
                  <c:v>72</c:v>
                </c:pt>
                <c:pt idx="43">
                  <c:v>150</c:v>
                </c:pt>
                <c:pt idx="44">
                  <c:v>60</c:v>
                </c:pt>
                <c:pt idx="45">
                  <c:v>17</c:v>
                </c:pt>
                <c:pt idx="46">
                  <c:v>55</c:v>
                </c:pt>
                <c:pt idx="47">
                  <c:v>18</c:v>
                </c:pt>
                <c:pt idx="48">
                  <c:v>19</c:v>
                </c:pt>
                <c:pt idx="49">
                  <c:v>109</c:v>
                </c:pt>
                <c:pt idx="50">
                  <c:v>12</c:v>
                </c:pt>
                <c:pt idx="51">
                  <c:v>35</c:v>
                </c:pt>
                <c:pt idx="52">
                  <c:v>20</c:v>
                </c:pt>
                <c:pt idx="53">
                  <c:v>210</c:v>
                </c:pt>
                <c:pt idx="54">
                  <c:v>21</c:v>
                </c:pt>
                <c:pt idx="55">
                  <c:v>37</c:v>
                </c:pt>
                <c:pt idx="56">
                  <c:v>16</c:v>
                </c:pt>
                <c:pt idx="57">
                  <c:v>58</c:v>
                </c:pt>
                <c:pt idx="58">
                  <c:v>75</c:v>
                </c:pt>
                <c:pt idx="59">
                  <c:v>39</c:v>
                </c:pt>
                <c:pt idx="60">
                  <c:v>300</c:v>
                </c:pt>
                <c:pt idx="61">
                  <c:v>35</c:v>
                </c:pt>
                <c:pt idx="62">
                  <c:v>22</c:v>
                </c:pt>
                <c:pt idx="63">
                  <c:v>90</c:v>
                </c:pt>
                <c:pt idx="64">
                  <c:v>95</c:v>
                </c:pt>
                <c:pt idx="65">
                  <c:v>21</c:v>
                </c:pt>
                <c:pt idx="66">
                  <c:v>10</c:v>
                </c:pt>
                <c:pt idx="67">
                  <c:v>25</c:v>
                </c:pt>
                <c:pt idx="68">
                  <c:v>29</c:v>
                </c:pt>
                <c:pt idx="69">
                  <c:v>23</c:v>
                </c:pt>
                <c:pt idx="70">
                  <c:v>90</c:v>
                </c:pt>
                <c:pt idx="71">
                  <c:v>18</c:v>
                </c:pt>
                <c:pt idx="72">
                  <c:v>54</c:v>
                </c:pt>
                <c:pt idx="73">
                  <c:v>62</c:v>
                </c:pt>
                <c:pt idx="74">
                  <c:v>21</c:v>
                </c:pt>
                <c:pt idx="75">
                  <c:v>37</c:v>
                </c:pt>
                <c:pt idx="76">
                  <c:v>24</c:v>
                </c:pt>
                <c:pt idx="77">
                  <c:v>52</c:v>
                </c:pt>
                <c:pt idx="78">
                  <c:v>55</c:v>
                </c:pt>
                <c:pt idx="79">
                  <c:v>440</c:v>
                </c:pt>
                <c:pt idx="80">
                  <c:v>105</c:v>
                </c:pt>
                <c:pt idx="81">
                  <c:v>40</c:v>
                </c:pt>
                <c:pt idx="82">
                  <c:v>120</c:v>
                </c:pt>
                <c:pt idx="83">
                  <c:v>26</c:v>
                </c:pt>
                <c:pt idx="84">
                  <c:v>28</c:v>
                </c:pt>
                <c:pt idx="85">
                  <c:v>150</c:v>
                </c:pt>
                <c:pt idx="86">
                  <c:v>37</c:v>
                </c:pt>
                <c:pt idx="87">
                  <c:v>43</c:v>
                </c:pt>
                <c:pt idx="88">
                  <c:v>120</c:v>
                </c:pt>
                <c:pt idx="89">
                  <c:v>25</c:v>
                </c:pt>
                <c:pt idx="90">
                  <c:v>25</c:v>
                </c:pt>
                <c:pt idx="91">
                  <c:v>40</c:v>
                </c:pt>
                <c:pt idx="92">
                  <c:v>57</c:v>
                </c:pt>
                <c:pt idx="93">
                  <c:v>27</c:v>
                </c:pt>
                <c:pt idx="94">
                  <c:v>19</c:v>
                </c:pt>
                <c:pt idx="95">
                  <c:v>15</c:v>
                </c:pt>
                <c:pt idx="96">
                  <c:v>13</c:v>
                </c:pt>
                <c:pt idx="97">
                  <c:v>69</c:v>
                </c:pt>
                <c:pt idx="98">
                  <c:v>13</c:v>
                </c:pt>
                <c:pt idx="99">
                  <c:v>50</c:v>
                </c:pt>
              </c:numCache>
            </c:numRef>
          </c:xVal>
          <c:yVal>
            <c:numRef>
              <c:f>'Q2'!$D$2:$D$101</c:f>
              <c:numCache>
                <c:formatCode>General</c:formatCode>
                <c:ptCount val="100"/>
                <c:pt idx="0">
                  <c:v>91</c:v>
                </c:pt>
                <c:pt idx="1">
                  <c:v>90</c:v>
                </c:pt>
                <c:pt idx="2">
                  <c:v>80</c:v>
                </c:pt>
                <c:pt idx="3">
                  <c:v>93</c:v>
                </c:pt>
                <c:pt idx="4">
                  <c:v>91</c:v>
                </c:pt>
                <c:pt idx="5">
                  <c:v>83</c:v>
                </c:pt>
                <c:pt idx="6">
                  <c:v>87</c:v>
                </c:pt>
                <c:pt idx="7">
                  <c:v>91</c:v>
                </c:pt>
                <c:pt idx="8">
                  <c:v>87</c:v>
                </c:pt>
                <c:pt idx="9">
                  <c:v>88</c:v>
                </c:pt>
                <c:pt idx="10">
                  <c:v>84</c:v>
                </c:pt>
                <c:pt idx="11">
                  <c:v>93</c:v>
                </c:pt>
                <c:pt idx="12">
                  <c:v>92</c:v>
                </c:pt>
                <c:pt idx="13">
                  <c:v>98</c:v>
                </c:pt>
                <c:pt idx="14">
                  <c:v>91</c:v>
                </c:pt>
                <c:pt idx="15">
                  <c:v>90</c:v>
                </c:pt>
                <c:pt idx="16">
                  <c:v>93</c:v>
                </c:pt>
                <c:pt idx="17">
                  <c:v>92</c:v>
                </c:pt>
                <c:pt idx="18">
                  <c:v>89</c:v>
                </c:pt>
                <c:pt idx="19">
                  <c:v>97</c:v>
                </c:pt>
                <c:pt idx="20">
                  <c:v>89</c:v>
                </c:pt>
                <c:pt idx="21">
                  <c:v>87</c:v>
                </c:pt>
                <c:pt idx="22">
                  <c:v>86</c:v>
                </c:pt>
                <c:pt idx="23">
                  <c:v>88</c:v>
                </c:pt>
                <c:pt idx="24">
                  <c:v>88</c:v>
                </c:pt>
                <c:pt idx="25">
                  <c:v>89</c:v>
                </c:pt>
                <c:pt idx="26">
                  <c:v>84</c:v>
                </c:pt>
                <c:pt idx="27">
                  <c:v>82</c:v>
                </c:pt>
                <c:pt idx="28">
                  <c:v>91</c:v>
                </c:pt>
                <c:pt idx="29">
                  <c:v>91</c:v>
                </c:pt>
                <c:pt idx="30">
                  <c:v>90</c:v>
                </c:pt>
                <c:pt idx="31">
                  <c:v>92</c:v>
                </c:pt>
                <c:pt idx="32">
                  <c:v>93</c:v>
                </c:pt>
                <c:pt idx="33">
                  <c:v>89</c:v>
                </c:pt>
                <c:pt idx="34">
                  <c:v>84</c:v>
                </c:pt>
                <c:pt idx="35">
                  <c:v>97</c:v>
                </c:pt>
                <c:pt idx="36">
                  <c:v>90</c:v>
                </c:pt>
                <c:pt idx="37">
                  <c:v>92</c:v>
                </c:pt>
                <c:pt idx="38">
                  <c:v>89</c:v>
                </c:pt>
                <c:pt idx="39">
                  <c:v>89</c:v>
                </c:pt>
                <c:pt idx="40">
                  <c:v>89</c:v>
                </c:pt>
                <c:pt idx="41">
                  <c:v>87</c:v>
                </c:pt>
                <c:pt idx="42">
                  <c:v>94</c:v>
                </c:pt>
                <c:pt idx="43">
                  <c:v>94</c:v>
                </c:pt>
                <c:pt idx="44">
                  <c:v>93</c:v>
                </c:pt>
                <c:pt idx="45">
                  <c:v>88</c:v>
                </c:pt>
                <c:pt idx="46">
                  <c:v>88</c:v>
                </c:pt>
                <c:pt idx="47">
                  <c:v>86</c:v>
                </c:pt>
                <c:pt idx="48">
                  <c:v>88</c:v>
                </c:pt>
                <c:pt idx="49">
                  <c:v>91</c:v>
                </c:pt>
                <c:pt idx="50">
                  <c:v>87</c:v>
                </c:pt>
                <c:pt idx="51">
                  <c:v>89</c:v>
                </c:pt>
                <c:pt idx="52">
                  <c:v>89</c:v>
                </c:pt>
                <c:pt idx="53">
                  <c:v>93</c:v>
                </c:pt>
                <c:pt idx="54">
                  <c:v>78</c:v>
                </c:pt>
                <c:pt idx="55">
                  <c:v>93</c:v>
                </c:pt>
                <c:pt idx="56">
                  <c:v>89</c:v>
                </c:pt>
                <c:pt idx="57">
                  <c:v>88</c:v>
                </c:pt>
                <c:pt idx="58">
                  <c:v>92</c:v>
                </c:pt>
                <c:pt idx="59">
                  <c:v>88</c:v>
                </c:pt>
                <c:pt idx="60">
                  <c:v>96</c:v>
                </c:pt>
                <c:pt idx="61">
                  <c:v>90</c:v>
                </c:pt>
                <c:pt idx="62">
                  <c:v>90</c:v>
                </c:pt>
                <c:pt idx="63">
                  <c:v>92</c:v>
                </c:pt>
                <c:pt idx="64">
                  <c:v>93</c:v>
                </c:pt>
                <c:pt idx="65">
                  <c:v>89</c:v>
                </c:pt>
                <c:pt idx="66">
                  <c:v>83</c:v>
                </c:pt>
                <c:pt idx="67">
                  <c:v>86</c:v>
                </c:pt>
                <c:pt idx="68">
                  <c:v>90</c:v>
                </c:pt>
                <c:pt idx="69">
                  <c:v>89</c:v>
                </c:pt>
                <c:pt idx="70">
                  <c:v>96</c:v>
                </c:pt>
                <c:pt idx="71">
                  <c:v>88</c:v>
                </c:pt>
                <c:pt idx="72">
                  <c:v>89</c:v>
                </c:pt>
                <c:pt idx="73">
                  <c:v>96</c:v>
                </c:pt>
                <c:pt idx="74">
                  <c:v>88</c:v>
                </c:pt>
                <c:pt idx="75">
                  <c:v>88</c:v>
                </c:pt>
                <c:pt idx="76">
                  <c:v>86</c:v>
                </c:pt>
                <c:pt idx="77">
                  <c:v>91</c:v>
                </c:pt>
                <c:pt idx="78">
                  <c:v>88</c:v>
                </c:pt>
                <c:pt idx="79">
                  <c:v>95</c:v>
                </c:pt>
                <c:pt idx="80">
                  <c:v>90</c:v>
                </c:pt>
                <c:pt idx="81">
                  <c:v>89</c:v>
                </c:pt>
                <c:pt idx="82">
                  <c:v>92</c:v>
                </c:pt>
                <c:pt idx="83">
                  <c:v>90</c:v>
                </c:pt>
                <c:pt idx="84">
                  <c:v>88</c:v>
                </c:pt>
                <c:pt idx="85">
                  <c:v>93</c:v>
                </c:pt>
                <c:pt idx="86">
                  <c:v>91</c:v>
                </c:pt>
                <c:pt idx="87">
                  <c:v>89</c:v>
                </c:pt>
                <c:pt idx="88">
                  <c:v>91</c:v>
                </c:pt>
                <c:pt idx="89">
                  <c:v>87</c:v>
                </c:pt>
                <c:pt idx="90">
                  <c:v>88</c:v>
                </c:pt>
                <c:pt idx="91">
                  <c:v>90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87</c:v>
                </c:pt>
                <c:pt idx="96">
                  <c:v>88</c:v>
                </c:pt>
                <c:pt idx="97">
                  <c:v>92</c:v>
                </c:pt>
                <c:pt idx="98">
                  <c:v>87</c:v>
                </c:pt>
                <c:pt idx="99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6D-4723-AAD9-B57162AF8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27551"/>
        <c:axId val="108235231"/>
      </c:scatterChart>
      <c:valAx>
        <c:axId val="10822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5231"/>
        <c:crosses val="autoZero"/>
        <c:crossBetween val="midCat"/>
      </c:valAx>
      <c:valAx>
        <c:axId val="1082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'Q6'!$G$1</c:f>
              <c:strCache>
                <c:ptCount val="1"/>
                <c:pt idx="0">
                  <c:v>LN(Price)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4001968503937006E-2"/>
                  <c:y val="-0.231870443277923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'Q6'!$D$2:$D$101</c:f>
              <c:numCache>
                <c:formatCode>General</c:formatCode>
                <c:ptCount val="100"/>
                <c:pt idx="0">
                  <c:v>91</c:v>
                </c:pt>
                <c:pt idx="1">
                  <c:v>90</c:v>
                </c:pt>
                <c:pt idx="2">
                  <c:v>80</c:v>
                </c:pt>
                <c:pt idx="3">
                  <c:v>93</c:v>
                </c:pt>
                <c:pt idx="4">
                  <c:v>91</c:v>
                </c:pt>
                <c:pt idx="5">
                  <c:v>83</c:v>
                </c:pt>
                <c:pt idx="6">
                  <c:v>87</c:v>
                </c:pt>
                <c:pt idx="7">
                  <c:v>91</c:v>
                </c:pt>
                <c:pt idx="8">
                  <c:v>87</c:v>
                </c:pt>
                <c:pt idx="9">
                  <c:v>88</c:v>
                </c:pt>
                <c:pt idx="10">
                  <c:v>84</c:v>
                </c:pt>
                <c:pt idx="11">
                  <c:v>93</c:v>
                </c:pt>
                <c:pt idx="12">
                  <c:v>92</c:v>
                </c:pt>
                <c:pt idx="13">
                  <c:v>98</c:v>
                </c:pt>
                <c:pt idx="14">
                  <c:v>91</c:v>
                </c:pt>
                <c:pt idx="15">
                  <c:v>90</c:v>
                </c:pt>
                <c:pt idx="16">
                  <c:v>93</c:v>
                </c:pt>
                <c:pt idx="17">
                  <c:v>92</c:v>
                </c:pt>
                <c:pt idx="18">
                  <c:v>89</c:v>
                </c:pt>
                <c:pt idx="19">
                  <c:v>97</c:v>
                </c:pt>
                <c:pt idx="20">
                  <c:v>89</c:v>
                </c:pt>
                <c:pt idx="21">
                  <c:v>87</c:v>
                </c:pt>
                <c:pt idx="22">
                  <c:v>86</c:v>
                </c:pt>
                <c:pt idx="23">
                  <c:v>88</c:v>
                </c:pt>
                <c:pt idx="24">
                  <c:v>88</c:v>
                </c:pt>
                <c:pt idx="25">
                  <c:v>89</c:v>
                </c:pt>
                <c:pt idx="26">
                  <c:v>84</c:v>
                </c:pt>
                <c:pt idx="27">
                  <c:v>82</c:v>
                </c:pt>
                <c:pt idx="28">
                  <c:v>91</c:v>
                </c:pt>
                <c:pt idx="29">
                  <c:v>91</c:v>
                </c:pt>
                <c:pt idx="30">
                  <c:v>90</c:v>
                </c:pt>
                <c:pt idx="31">
                  <c:v>92</c:v>
                </c:pt>
                <c:pt idx="32">
                  <c:v>93</c:v>
                </c:pt>
                <c:pt idx="33">
                  <c:v>89</c:v>
                </c:pt>
                <c:pt idx="34">
                  <c:v>84</c:v>
                </c:pt>
                <c:pt idx="35">
                  <c:v>97</c:v>
                </c:pt>
                <c:pt idx="36">
                  <c:v>90</c:v>
                </c:pt>
                <c:pt idx="37">
                  <c:v>92</c:v>
                </c:pt>
                <c:pt idx="38">
                  <c:v>89</c:v>
                </c:pt>
                <c:pt idx="39">
                  <c:v>89</c:v>
                </c:pt>
                <c:pt idx="40">
                  <c:v>89</c:v>
                </c:pt>
                <c:pt idx="41">
                  <c:v>87</c:v>
                </c:pt>
                <c:pt idx="42">
                  <c:v>94</c:v>
                </c:pt>
                <c:pt idx="43">
                  <c:v>94</c:v>
                </c:pt>
                <c:pt idx="44">
                  <c:v>93</c:v>
                </c:pt>
                <c:pt idx="45">
                  <c:v>88</c:v>
                </c:pt>
                <c:pt idx="46">
                  <c:v>88</c:v>
                </c:pt>
                <c:pt idx="47">
                  <c:v>86</c:v>
                </c:pt>
                <c:pt idx="48">
                  <c:v>88</c:v>
                </c:pt>
                <c:pt idx="49">
                  <c:v>91</c:v>
                </c:pt>
                <c:pt idx="50">
                  <c:v>87</c:v>
                </c:pt>
                <c:pt idx="51">
                  <c:v>89</c:v>
                </c:pt>
                <c:pt idx="52">
                  <c:v>89</c:v>
                </c:pt>
                <c:pt idx="53">
                  <c:v>93</c:v>
                </c:pt>
                <c:pt idx="54">
                  <c:v>78</c:v>
                </c:pt>
                <c:pt idx="55">
                  <c:v>93</c:v>
                </c:pt>
                <c:pt idx="56">
                  <c:v>89</c:v>
                </c:pt>
                <c:pt idx="57">
                  <c:v>88</c:v>
                </c:pt>
                <c:pt idx="58">
                  <c:v>92</c:v>
                </c:pt>
                <c:pt idx="59">
                  <c:v>88</c:v>
                </c:pt>
                <c:pt idx="60">
                  <c:v>96</c:v>
                </c:pt>
                <c:pt idx="61">
                  <c:v>90</c:v>
                </c:pt>
                <c:pt idx="62">
                  <c:v>90</c:v>
                </c:pt>
                <c:pt idx="63">
                  <c:v>92</c:v>
                </c:pt>
                <c:pt idx="64">
                  <c:v>93</c:v>
                </c:pt>
                <c:pt idx="65">
                  <c:v>89</c:v>
                </c:pt>
                <c:pt idx="66">
                  <c:v>83</c:v>
                </c:pt>
                <c:pt idx="67">
                  <c:v>86</c:v>
                </c:pt>
                <c:pt idx="68">
                  <c:v>90</c:v>
                </c:pt>
                <c:pt idx="69">
                  <c:v>89</c:v>
                </c:pt>
                <c:pt idx="70">
                  <c:v>96</c:v>
                </c:pt>
                <c:pt idx="71">
                  <c:v>88</c:v>
                </c:pt>
                <c:pt idx="72">
                  <c:v>89</c:v>
                </c:pt>
                <c:pt idx="73">
                  <c:v>96</c:v>
                </c:pt>
                <c:pt idx="74">
                  <c:v>88</c:v>
                </c:pt>
                <c:pt idx="75">
                  <c:v>88</c:v>
                </c:pt>
                <c:pt idx="76">
                  <c:v>86</c:v>
                </c:pt>
                <c:pt idx="77">
                  <c:v>91</c:v>
                </c:pt>
                <c:pt idx="78">
                  <c:v>88</c:v>
                </c:pt>
                <c:pt idx="79">
                  <c:v>95</c:v>
                </c:pt>
                <c:pt idx="80">
                  <c:v>90</c:v>
                </c:pt>
                <c:pt idx="81">
                  <c:v>89</c:v>
                </c:pt>
                <c:pt idx="82">
                  <c:v>92</c:v>
                </c:pt>
                <c:pt idx="83">
                  <c:v>90</c:v>
                </c:pt>
                <c:pt idx="84">
                  <c:v>88</c:v>
                </c:pt>
                <c:pt idx="85">
                  <c:v>93</c:v>
                </c:pt>
                <c:pt idx="86">
                  <c:v>91</c:v>
                </c:pt>
                <c:pt idx="87">
                  <c:v>89</c:v>
                </c:pt>
                <c:pt idx="88">
                  <c:v>91</c:v>
                </c:pt>
                <c:pt idx="89">
                  <c:v>87</c:v>
                </c:pt>
                <c:pt idx="90">
                  <c:v>88</c:v>
                </c:pt>
                <c:pt idx="91">
                  <c:v>90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87</c:v>
                </c:pt>
                <c:pt idx="96">
                  <c:v>88</c:v>
                </c:pt>
                <c:pt idx="97">
                  <c:v>92</c:v>
                </c:pt>
                <c:pt idx="98">
                  <c:v>87</c:v>
                </c:pt>
                <c:pt idx="99">
                  <c:v>87</c:v>
                </c:pt>
              </c:numCache>
            </c:numRef>
          </c:xVal>
          <c:yVal>
            <c:numRef>
              <c:f>'Q6'!$G$2:$G$101</c:f>
              <c:numCache>
                <c:formatCode>General</c:formatCode>
                <c:ptCount val="100"/>
                <c:pt idx="0">
                  <c:v>3.9512437185814275</c:v>
                </c:pt>
                <c:pt idx="1">
                  <c:v>3.4011973816621555</c:v>
                </c:pt>
                <c:pt idx="2">
                  <c:v>2.3025850929940459</c:v>
                </c:pt>
                <c:pt idx="3">
                  <c:v>4.7874917427820458</c:v>
                </c:pt>
                <c:pt idx="4">
                  <c:v>4.3174881135363101</c:v>
                </c:pt>
                <c:pt idx="5">
                  <c:v>2.9957322735539909</c:v>
                </c:pt>
                <c:pt idx="6">
                  <c:v>3.6635616461296463</c:v>
                </c:pt>
                <c:pt idx="7">
                  <c:v>3.912023005428146</c:v>
                </c:pt>
                <c:pt idx="8">
                  <c:v>2.8903717578961645</c:v>
                </c:pt>
                <c:pt idx="9">
                  <c:v>3.4339872044851463</c:v>
                </c:pt>
                <c:pt idx="10">
                  <c:v>2.8903717578961645</c:v>
                </c:pt>
                <c:pt idx="11">
                  <c:v>3.8712010109078911</c:v>
                </c:pt>
                <c:pt idx="12">
                  <c:v>4.0073331852324712</c:v>
                </c:pt>
                <c:pt idx="13">
                  <c:v>5.9269260259704106</c:v>
                </c:pt>
                <c:pt idx="14">
                  <c:v>4.0253516907351496</c:v>
                </c:pt>
                <c:pt idx="15">
                  <c:v>3.6375861597263857</c:v>
                </c:pt>
                <c:pt idx="16">
                  <c:v>4.6051701859880918</c:v>
                </c:pt>
                <c:pt idx="17">
                  <c:v>3.7376696182833684</c:v>
                </c:pt>
                <c:pt idx="18">
                  <c:v>3.5553480614894135</c:v>
                </c:pt>
                <c:pt idx="19">
                  <c:v>6.0867747269123065</c:v>
                </c:pt>
                <c:pt idx="20">
                  <c:v>3.6635616461296463</c:v>
                </c:pt>
                <c:pt idx="21">
                  <c:v>3.5553480614894135</c:v>
                </c:pt>
                <c:pt idx="22">
                  <c:v>3.6375861597263857</c:v>
                </c:pt>
                <c:pt idx="23">
                  <c:v>3.970291913552122</c:v>
                </c:pt>
                <c:pt idx="24">
                  <c:v>2.9957322735539909</c:v>
                </c:pt>
                <c:pt idx="25">
                  <c:v>3.2188758248682006</c:v>
                </c:pt>
                <c:pt idx="26">
                  <c:v>2.9957322735539909</c:v>
                </c:pt>
                <c:pt idx="27">
                  <c:v>3.3672958299864741</c:v>
                </c:pt>
                <c:pt idx="28">
                  <c:v>4.499809670330265</c:v>
                </c:pt>
                <c:pt idx="29">
                  <c:v>4.8283137373023015</c:v>
                </c:pt>
                <c:pt idx="30">
                  <c:v>4.0073331852324712</c:v>
                </c:pt>
                <c:pt idx="31">
                  <c:v>3.2188758248682006</c:v>
                </c:pt>
                <c:pt idx="32">
                  <c:v>3.2188758248682006</c:v>
                </c:pt>
                <c:pt idx="33">
                  <c:v>3.4657359027997265</c:v>
                </c:pt>
                <c:pt idx="34">
                  <c:v>2.3025850929940459</c:v>
                </c:pt>
                <c:pt idx="35">
                  <c:v>5.1929568508902104</c:v>
                </c:pt>
                <c:pt idx="36">
                  <c:v>3.2958368660043291</c:v>
                </c:pt>
                <c:pt idx="37">
                  <c:v>4.990432586778736</c:v>
                </c:pt>
                <c:pt idx="38">
                  <c:v>3.6375861597263857</c:v>
                </c:pt>
                <c:pt idx="39">
                  <c:v>4.0430512678345503</c:v>
                </c:pt>
                <c:pt idx="40">
                  <c:v>3.0910424533583161</c:v>
                </c:pt>
                <c:pt idx="41">
                  <c:v>2.9444389791664403</c:v>
                </c:pt>
                <c:pt idx="42">
                  <c:v>4.2766661190160553</c:v>
                </c:pt>
                <c:pt idx="43">
                  <c:v>5.0106352940962555</c:v>
                </c:pt>
                <c:pt idx="44">
                  <c:v>4.0943445622221004</c:v>
                </c:pt>
                <c:pt idx="45">
                  <c:v>2.8332133440562162</c:v>
                </c:pt>
                <c:pt idx="46">
                  <c:v>4.0073331852324712</c:v>
                </c:pt>
                <c:pt idx="47">
                  <c:v>2.8903717578961645</c:v>
                </c:pt>
                <c:pt idx="48">
                  <c:v>2.9444389791664403</c:v>
                </c:pt>
                <c:pt idx="49">
                  <c:v>4.6913478822291435</c:v>
                </c:pt>
                <c:pt idx="50">
                  <c:v>2.4849066497880004</c:v>
                </c:pt>
                <c:pt idx="51">
                  <c:v>3.5553480614894135</c:v>
                </c:pt>
                <c:pt idx="52">
                  <c:v>2.9957322735539909</c:v>
                </c:pt>
                <c:pt idx="53">
                  <c:v>5.3471075307174685</c:v>
                </c:pt>
                <c:pt idx="54">
                  <c:v>3.044522437723423</c:v>
                </c:pt>
                <c:pt idx="55">
                  <c:v>3.6109179126442243</c:v>
                </c:pt>
                <c:pt idx="56">
                  <c:v>2.7725887222397811</c:v>
                </c:pt>
                <c:pt idx="57">
                  <c:v>4.0604430105464191</c:v>
                </c:pt>
                <c:pt idx="58">
                  <c:v>4.3174881135363101</c:v>
                </c:pt>
                <c:pt idx="59">
                  <c:v>3.6635616461296463</c:v>
                </c:pt>
                <c:pt idx="60">
                  <c:v>5.7037824746562009</c:v>
                </c:pt>
                <c:pt idx="61">
                  <c:v>3.5553480614894135</c:v>
                </c:pt>
                <c:pt idx="62">
                  <c:v>3.0910424533583161</c:v>
                </c:pt>
                <c:pt idx="63">
                  <c:v>4.499809670330265</c:v>
                </c:pt>
                <c:pt idx="64">
                  <c:v>4.5538768916005408</c:v>
                </c:pt>
                <c:pt idx="65">
                  <c:v>3.044522437723423</c:v>
                </c:pt>
                <c:pt idx="66">
                  <c:v>2.3025850929940459</c:v>
                </c:pt>
                <c:pt idx="67">
                  <c:v>3.2188758248682006</c:v>
                </c:pt>
                <c:pt idx="68">
                  <c:v>3.3672958299864741</c:v>
                </c:pt>
                <c:pt idx="69">
                  <c:v>3.1354942159291497</c:v>
                </c:pt>
                <c:pt idx="70">
                  <c:v>4.499809670330265</c:v>
                </c:pt>
                <c:pt idx="71">
                  <c:v>2.8903717578961645</c:v>
                </c:pt>
                <c:pt idx="72">
                  <c:v>3.9889840465642745</c:v>
                </c:pt>
                <c:pt idx="73">
                  <c:v>4.1271343850450917</c:v>
                </c:pt>
                <c:pt idx="74">
                  <c:v>3.044522437723423</c:v>
                </c:pt>
                <c:pt idx="75">
                  <c:v>3.6109179126442243</c:v>
                </c:pt>
                <c:pt idx="76">
                  <c:v>3.1780538303479458</c:v>
                </c:pt>
                <c:pt idx="77">
                  <c:v>3.9512437185814275</c:v>
                </c:pt>
                <c:pt idx="78">
                  <c:v>4.0073331852324712</c:v>
                </c:pt>
                <c:pt idx="79">
                  <c:v>6.0867747269123065</c:v>
                </c:pt>
                <c:pt idx="80">
                  <c:v>4.6539603501575231</c:v>
                </c:pt>
                <c:pt idx="81">
                  <c:v>3.6888794541139363</c:v>
                </c:pt>
                <c:pt idx="82">
                  <c:v>4.7874917427820458</c:v>
                </c:pt>
                <c:pt idx="83">
                  <c:v>3.2580965380214821</c:v>
                </c:pt>
                <c:pt idx="84">
                  <c:v>3.3322045101752038</c:v>
                </c:pt>
                <c:pt idx="85">
                  <c:v>5.0106352940962555</c:v>
                </c:pt>
                <c:pt idx="86">
                  <c:v>3.6109179126442243</c:v>
                </c:pt>
                <c:pt idx="87">
                  <c:v>3.7612001156935624</c:v>
                </c:pt>
                <c:pt idx="88">
                  <c:v>4.7874917427820458</c:v>
                </c:pt>
                <c:pt idx="89">
                  <c:v>3.2188758248682006</c:v>
                </c:pt>
                <c:pt idx="90">
                  <c:v>3.2188758248682006</c:v>
                </c:pt>
                <c:pt idx="91">
                  <c:v>3.6888794541139363</c:v>
                </c:pt>
                <c:pt idx="92">
                  <c:v>4.0430512678345503</c:v>
                </c:pt>
                <c:pt idx="93">
                  <c:v>3.2958368660043291</c:v>
                </c:pt>
                <c:pt idx="94">
                  <c:v>2.9444389791664403</c:v>
                </c:pt>
                <c:pt idx="95">
                  <c:v>2.7080502011022101</c:v>
                </c:pt>
                <c:pt idx="96">
                  <c:v>2.5649493574615367</c:v>
                </c:pt>
                <c:pt idx="97">
                  <c:v>4.2341065045972597</c:v>
                </c:pt>
                <c:pt idx="98">
                  <c:v>2.5649493574615367</c:v>
                </c:pt>
                <c:pt idx="99">
                  <c:v>3.912023005428146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5E-452C-92D3-F4C8EBBAE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25151"/>
        <c:axId val="108232831"/>
      </c:scatterChart>
      <c:valAx>
        <c:axId val="10822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2831"/>
        <c:crosses val="autoZero"/>
        <c:crossBetween val="midCat"/>
      </c:valAx>
      <c:valAx>
        <c:axId val="10823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185737</xdr:rowOff>
    </xdr:from>
    <xdr:to>
      <xdr:col>7</xdr:col>
      <xdr:colOff>0</xdr:colOff>
      <xdr:row>14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9418A3-82F7-EF25-FF8C-1F839C2D1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185737</xdr:rowOff>
    </xdr:from>
    <xdr:to>
      <xdr:col>7</xdr:col>
      <xdr:colOff>0</xdr:colOff>
      <xdr:row>14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082E6D-36D6-4DF5-A040-78C180EB6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185737</xdr:rowOff>
    </xdr:from>
    <xdr:to>
      <xdr:col>7</xdr:col>
      <xdr:colOff>0</xdr:colOff>
      <xdr:row>14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A4B119-5FF4-4003-8CF3-D8C8CC71D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31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6F2BD1-4134-4CF7-8B8D-C6A3334DE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1</xdr:row>
      <xdr:rowOff>195262</xdr:rowOff>
    </xdr:from>
    <xdr:to>
      <xdr:col>9</xdr:col>
      <xdr:colOff>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92758-8FEB-EA9E-70EB-C5FEE7C1C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FAD7-0BD5-4897-BFF5-97125DFCAF3D}">
  <dimension ref="A1:E101"/>
  <sheetViews>
    <sheetView topLeftCell="A49" workbookViewId="0">
      <selection sqref="A1:E101"/>
    </sheetView>
  </sheetViews>
  <sheetFormatPr defaultRowHeight="15" x14ac:dyDescent="0.25"/>
  <cols>
    <col min="1" max="1" width="8.7109375" bestFit="1" customWidth="1"/>
    <col min="2" max="2" width="44.5703125" bestFit="1" customWidth="1"/>
    <col min="3" max="3" width="5.85546875" bestFit="1" customWidth="1"/>
    <col min="4" max="4" width="6.42578125" bestFit="1" customWidth="1"/>
    <col min="5" max="5" width="11.28515625" bestFit="1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1">
        <v>1</v>
      </c>
      <c r="B2" s="1" t="s">
        <v>5</v>
      </c>
      <c r="C2" s="1">
        <v>52</v>
      </c>
      <c r="D2" s="1">
        <v>91</v>
      </c>
      <c r="E2" s="3" t="s">
        <v>6</v>
      </c>
    </row>
    <row r="3" spans="1:5" ht="15.75" x14ac:dyDescent="0.25">
      <c r="A3" s="1">
        <v>2</v>
      </c>
      <c r="B3" s="1" t="s">
        <v>7</v>
      </c>
      <c r="C3" s="1">
        <v>30</v>
      </c>
      <c r="D3" s="1">
        <v>90</v>
      </c>
      <c r="E3" s="3" t="s">
        <v>6</v>
      </c>
    </row>
    <row r="4" spans="1:5" ht="15.75" x14ac:dyDescent="0.25">
      <c r="A4" s="1">
        <v>3</v>
      </c>
      <c r="B4" s="1" t="s">
        <v>8</v>
      </c>
      <c r="C4" s="1">
        <v>10</v>
      </c>
      <c r="D4" s="1">
        <v>80</v>
      </c>
      <c r="E4" s="3" t="s">
        <v>9</v>
      </c>
    </row>
    <row r="5" spans="1:5" ht="15.75" x14ac:dyDescent="0.25">
      <c r="A5" s="1">
        <v>4</v>
      </c>
      <c r="B5" s="1" t="s">
        <v>10</v>
      </c>
      <c r="C5" s="1">
        <v>120</v>
      </c>
      <c r="D5" s="1">
        <v>93</v>
      </c>
      <c r="E5" s="3" t="s">
        <v>6</v>
      </c>
    </row>
    <row r="6" spans="1:5" ht="15.75" x14ac:dyDescent="0.25">
      <c r="A6" s="1">
        <v>5</v>
      </c>
      <c r="B6" s="1" t="s">
        <v>11</v>
      </c>
      <c r="C6" s="1">
        <v>75</v>
      </c>
      <c r="D6" s="1">
        <v>91</v>
      </c>
      <c r="E6" s="3" t="s">
        <v>6</v>
      </c>
    </row>
    <row r="7" spans="1:5" ht="15.75" x14ac:dyDescent="0.25">
      <c r="A7" s="1">
        <v>6</v>
      </c>
      <c r="B7" s="1" t="s">
        <v>12</v>
      </c>
      <c r="C7" s="1">
        <v>20</v>
      </c>
      <c r="D7" s="1">
        <v>83</v>
      </c>
      <c r="E7" s="3" t="s">
        <v>9</v>
      </c>
    </row>
    <row r="8" spans="1:5" ht="15.75" x14ac:dyDescent="0.25">
      <c r="A8" s="1">
        <v>7</v>
      </c>
      <c r="B8" s="1" t="s">
        <v>13</v>
      </c>
      <c r="C8" s="1">
        <v>39</v>
      </c>
      <c r="D8" s="1">
        <v>87</v>
      </c>
      <c r="E8" s="3" t="s">
        <v>14</v>
      </c>
    </row>
    <row r="9" spans="1:5" ht="15.75" x14ac:dyDescent="0.25">
      <c r="A9" s="1">
        <v>8</v>
      </c>
      <c r="B9" s="1" t="s">
        <v>15</v>
      </c>
      <c r="C9" s="1">
        <v>50</v>
      </c>
      <c r="D9" s="1">
        <v>91</v>
      </c>
      <c r="E9" s="3" t="s">
        <v>6</v>
      </c>
    </row>
    <row r="10" spans="1:5" ht="15.75" x14ac:dyDescent="0.25">
      <c r="A10" s="1">
        <v>9</v>
      </c>
      <c r="B10" s="1" t="s">
        <v>16</v>
      </c>
      <c r="C10" s="1">
        <v>18</v>
      </c>
      <c r="D10" s="1">
        <v>87</v>
      </c>
      <c r="E10" s="3" t="s">
        <v>14</v>
      </c>
    </row>
    <row r="11" spans="1:5" ht="15.75" x14ac:dyDescent="0.25">
      <c r="A11" s="1">
        <v>10</v>
      </c>
      <c r="B11" s="1" t="s">
        <v>17</v>
      </c>
      <c r="C11" s="1">
        <v>31</v>
      </c>
      <c r="D11" s="1">
        <v>88</v>
      </c>
      <c r="E11" s="3" t="s">
        <v>14</v>
      </c>
    </row>
    <row r="12" spans="1:5" ht="15.75" x14ac:dyDescent="0.25">
      <c r="A12" s="1">
        <v>11</v>
      </c>
      <c r="B12" s="1" t="s">
        <v>18</v>
      </c>
      <c r="C12" s="1">
        <v>18</v>
      </c>
      <c r="D12" s="1">
        <v>84</v>
      </c>
      <c r="E12" s="3" t="s">
        <v>9</v>
      </c>
    </row>
    <row r="13" spans="1:5" ht="15.75" x14ac:dyDescent="0.25">
      <c r="A13" s="1">
        <v>12</v>
      </c>
      <c r="B13" s="1" t="s">
        <v>19</v>
      </c>
      <c r="C13" s="1">
        <v>48</v>
      </c>
      <c r="D13" s="1">
        <v>93</v>
      </c>
      <c r="E13" s="3" t="s">
        <v>6</v>
      </c>
    </row>
    <row r="14" spans="1:5" ht="15.75" x14ac:dyDescent="0.25">
      <c r="A14" s="1">
        <v>13</v>
      </c>
      <c r="B14" s="1" t="s">
        <v>20</v>
      </c>
      <c r="C14" s="1">
        <v>55</v>
      </c>
      <c r="D14" s="1">
        <v>92</v>
      </c>
      <c r="E14" s="3" t="s">
        <v>6</v>
      </c>
    </row>
    <row r="15" spans="1:5" ht="15.75" x14ac:dyDescent="0.25">
      <c r="A15" s="1">
        <v>14</v>
      </c>
      <c r="B15" s="1" t="s">
        <v>21</v>
      </c>
      <c r="C15" s="1">
        <v>375</v>
      </c>
      <c r="D15" s="1">
        <v>98</v>
      </c>
      <c r="E15" s="3" t="s">
        <v>22</v>
      </c>
    </row>
    <row r="16" spans="1:5" ht="15.75" x14ac:dyDescent="0.25">
      <c r="A16" s="1">
        <v>15</v>
      </c>
      <c r="B16" s="1" t="s">
        <v>23</v>
      </c>
      <c r="C16" s="1">
        <v>56</v>
      </c>
      <c r="D16" s="1">
        <v>91</v>
      </c>
      <c r="E16" s="3" t="s">
        <v>6</v>
      </c>
    </row>
    <row r="17" spans="1:5" ht="15.75" x14ac:dyDescent="0.25">
      <c r="A17" s="1">
        <v>16</v>
      </c>
      <c r="B17" s="1" t="s">
        <v>24</v>
      </c>
      <c r="C17" s="1">
        <v>38</v>
      </c>
      <c r="D17" s="1">
        <v>90</v>
      </c>
      <c r="E17" s="3" t="s">
        <v>6</v>
      </c>
    </row>
    <row r="18" spans="1:5" ht="15.75" x14ac:dyDescent="0.25">
      <c r="A18" s="1">
        <v>17</v>
      </c>
      <c r="B18" s="1" t="s">
        <v>25</v>
      </c>
      <c r="C18" s="1">
        <v>100</v>
      </c>
      <c r="D18" s="1">
        <v>93</v>
      </c>
      <c r="E18" s="3" t="s">
        <v>6</v>
      </c>
    </row>
    <row r="19" spans="1:5" ht="15.75" x14ac:dyDescent="0.25">
      <c r="A19" s="1">
        <v>18</v>
      </c>
      <c r="B19" s="1" t="s">
        <v>26</v>
      </c>
      <c r="C19" s="1">
        <v>42</v>
      </c>
      <c r="D19" s="1">
        <v>92</v>
      </c>
      <c r="E19" s="3" t="s">
        <v>6</v>
      </c>
    </row>
    <row r="20" spans="1:5" ht="15.75" x14ac:dyDescent="0.25">
      <c r="A20" s="1">
        <v>19</v>
      </c>
      <c r="B20" s="1" t="s">
        <v>27</v>
      </c>
      <c r="C20" s="1">
        <v>35</v>
      </c>
      <c r="D20" s="1">
        <v>89</v>
      </c>
      <c r="E20" s="3" t="s">
        <v>14</v>
      </c>
    </row>
    <row r="21" spans="1:5" ht="15.75" x14ac:dyDescent="0.25">
      <c r="A21" s="1">
        <v>20</v>
      </c>
      <c r="B21" s="1" t="s">
        <v>28</v>
      </c>
      <c r="C21" s="1">
        <v>440</v>
      </c>
      <c r="D21" s="1">
        <v>97</v>
      </c>
      <c r="E21" s="3" t="s">
        <v>22</v>
      </c>
    </row>
    <row r="22" spans="1:5" ht="15.75" x14ac:dyDescent="0.25">
      <c r="A22" s="1">
        <v>21</v>
      </c>
      <c r="B22" s="1" t="s">
        <v>29</v>
      </c>
      <c r="C22" s="1">
        <v>39</v>
      </c>
      <c r="D22" s="1">
        <v>89</v>
      </c>
      <c r="E22" s="3" t="s">
        <v>14</v>
      </c>
    </row>
    <row r="23" spans="1:5" ht="15.75" x14ac:dyDescent="0.25">
      <c r="A23" s="1">
        <v>22</v>
      </c>
      <c r="B23" s="1" t="s">
        <v>30</v>
      </c>
      <c r="C23" s="1">
        <v>35</v>
      </c>
      <c r="D23" s="1">
        <v>87</v>
      </c>
      <c r="E23" s="3" t="s">
        <v>14</v>
      </c>
    </row>
    <row r="24" spans="1:5" ht="15.75" x14ac:dyDescent="0.25">
      <c r="A24" s="1">
        <v>23</v>
      </c>
      <c r="B24" s="1" t="s">
        <v>31</v>
      </c>
      <c r="C24" s="1">
        <v>38</v>
      </c>
      <c r="D24" s="1">
        <v>86</v>
      </c>
      <c r="E24" s="3" t="s">
        <v>14</v>
      </c>
    </row>
    <row r="25" spans="1:5" ht="15.75" x14ac:dyDescent="0.25">
      <c r="A25" s="1">
        <v>24</v>
      </c>
      <c r="B25" s="1" t="s">
        <v>32</v>
      </c>
      <c r="C25" s="1">
        <v>53</v>
      </c>
      <c r="D25" s="1">
        <v>88</v>
      </c>
      <c r="E25" s="3" t="s">
        <v>14</v>
      </c>
    </row>
    <row r="26" spans="1:5" ht="15.75" x14ac:dyDescent="0.25">
      <c r="A26" s="1">
        <v>25</v>
      </c>
      <c r="B26" s="1" t="s">
        <v>33</v>
      </c>
      <c r="C26" s="1">
        <v>20</v>
      </c>
      <c r="D26" s="1">
        <v>88</v>
      </c>
      <c r="E26" s="3" t="s">
        <v>14</v>
      </c>
    </row>
    <row r="27" spans="1:5" ht="15.75" x14ac:dyDescent="0.25">
      <c r="A27" s="1">
        <v>26</v>
      </c>
      <c r="B27" s="1" t="s">
        <v>34</v>
      </c>
      <c r="C27" s="1">
        <v>25</v>
      </c>
      <c r="D27" s="1">
        <v>89</v>
      </c>
      <c r="E27" s="3" t="s">
        <v>14</v>
      </c>
    </row>
    <row r="28" spans="1:5" ht="15.75" x14ac:dyDescent="0.25">
      <c r="A28" s="1">
        <v>27</v>
      </c>
      <c r="B28" s="1" t="s">
        <v>35</v>
      </c>
      <c r="C28" s="1">
        <v>20</v>
      </c>
      <c r="D28" s="1">
        <v>84</v>
      </c>
      <c r="E28" s="3" t="s">
        <v>9</v>
      </c>
    </row>
    <row r="29" spans="1:5" ht="15.75" x14ac:dyDescent="0.25">
      <c r="A29" s="1">
        <v>28</v>
      </c>
      <c r="B29" s="1" t="s">
        <v>36</v>
      </c>
      <c r="C29" s="1">
        <v>29</v>
      </c>
      <c r="D29" s="1">
        <v>82</v>
      </c>
      <c r="E29" s="3" t="s">
        <v>9</v>
      </c>
    </row>
    <row r="30" spans="1:5" ht="15.75" x14ac:dyDescent="0.25">
      <c r="A30" s="1">
        <v>29</v>
      </c>
      <c r="B30" s="1" t="s">
        <v>37</v>
      </c>
      <c r="C30" s="1">
        <v>90</v>
      </c>
      <c r="D30" s="1">
        <v>91</v>
      </c>
      <c r="E30" s="3" t="s">
        <v>6</v>
      </c>
    </row>
    <row r="31" spans="1:5" ht="15.75" x14ac:dyDescent="0.25">
      <c r="A31" s="1">
        <v>30</v>
      </c>
      <c r="B31" s="1" t="s">
        <v>38</v>
      </c>
      <c r="C31" s="1">
        <v>125</v>
      </c>
      <c r="D31" s="1">
        <v>91</v>
      </c>
      <c r="E31" s="3" t="s">
        <v>6</v>
      </c>
    </row>
    <row r="32" spans="1:5" ht="15.75" x14ac:dyDescent="0.25">
      <c r="A32" s="1">
        <v>31</v>
      </c>
      <c r="B32" s="1" t="s">
        <v>39</v>
      </c>
      <c r="C32" s="1">
        <v>55</v>
      </c>
      <c r="D32" s="1">
        <v>90</v>
      </c>
      <c r="E32" s="3" t="s">
        <v>6</v>
      </c>
    </row>
    <row r="33" spans="1:5" ht="15.75" x14ac:dyDescent="0.25">
      <c r="A33" s="1">
        <v>32</v>
      </c>
      <c r="B33" s="1" t="s">
        <v>40</v>
      </c>
      <c r="C33" s="1">
        <v>25</v>
      </c>
      <c r="D33" s="1">
        <v>92</v>
      </c>
      <c r="E33" s="3" t="s">
        <v>6</v>
      </c>
    </row>
    <row r="34" spans="1:5" ht="15.75" x14ac:dyDescent="0.25">
      <c r="A34" s="1">
        <v>33</v>
      </c>
      <c r="B34" s="1" t="s">
        <v>41</v>
      </c>
      <c r="C34" s="1">
        <v>25</v>
      </c>
      <c r="D34" s="1">
        <v>93</v>
      </c>
      <c r="E34" s="3" t="s">
        <v>6</v>
      </c>
    </row>
    <row r="35" spans="1:5" ht="15.75" x14ac:dyDescent="0.25">
      <c r="A35" s="1">
        <v>34</v>
      </c>
      <c r="B35" s="1" t="s">
        <v>42</v>
      </c>
      <c r="C35" s="1">
        <v>32</v>
      </c>
      <c r="D35" s="1">
        <v>89</v>
      </c>
      <c r="E35" s="3" t="s">
        <v>14</v>
      </c>
    </row>
    <row r="36" spans="1:5" ht="15.75" x14ac:dyDescent="0.25">
      <c r="A36" s="1">
        <v>35</v>
      </c>
      <c r="B36" s="1" t="s">
        <v>43</v>
      </c>
      <c r="C36" s="1">
        <v>10</v>
      </c>
      <c r="D36" s="1">
        <v>84</v>
      </c>
      <c r="E36" s="3" t="s">
        <v>9</v>
      </c>
    </row>
    <row r="37" spans="1:5" ht="15.75" x14ac:dyDescent="0.25">
      <c r="A37" s="1">
        <v>36</v>
      </c>
      <c r="B37" s="1" t="s">
        <v>44</v>
      </c>
      <c r="C37" s="1">
        <v>180</v>
      </c>
      <c r="D37" s="1">
        <v>97</v>
      </c>
      <c r="E37" s="3" t="s">
        <v>22</v>
      </c>
    </row>
    <row r="38" spans="1:5" ht="15.75" x14ac:dyDescent="0.25">
      <c r="A38" s="1">
        <v>37</v>
      </c>
      <c r="B38" s="1" t="s">
        <v>45</v>
      </c>
      <c r="C38" s="1">
        <v>27</v>
      </c>
      <c r="D38" s="1">
        <v>90</v>
      </c>
      <c r="E38" s="3" t="s">
        <v>6</v>
      </c>
    </row>
    <row r="39" spans="1:5" ht="15.75" x14ac:dyDescent="0.25">
      <c r="A39" s="1">
        <v>38</v>
      </c>
      <c r="B39" s="1" t="s">
        <v>46</v>
      </c>
      <c r="C39" s="1">
        <v>147</v>
      </c>
      <c r="D39" s="1">
        <v>92</v>
      </c>
      <c r="E39" s="3" t="s">
        <v>6</v>
      </c>
    </row>
    <row r="40" spans="1:5" ht="15.75" x14ac:dyDescent="0.25">
      <c r="A40" s="1">
        <v>39</v>
      </c>
      <c r="B40" s="1" t="s">
        <v>47</v>
      </c>
      <c r="C40" s="1">
        <v>38</v>
      </c>
      <c r="D40" s="1">
        <v>89</v>
      </c>
      <c r="E40" s="3" t="s">
        <v>14</v>
      </c>
    </row>
    <row r="41" spans="1:5" ht="15.75" x14ac:dyDescent="0.25">
      <c r="A41" s="1">
        <v>40</v>
      </c>
      <c r="B41" s="1" t="s">
        <v>48</v>
      </c>
      <c r="C41" s="1">
        <v>57</v>
      </c>
      <c r="D41" s="1">
        <v>89</v>
      </c>
      <c r="E41" s="3" t="s">
        <v>14</v>
      </c>
    </row>
    <row r="42" spans="1:5" ht="15.75" x14ac:dyDescent="0.25">
      <c r="A42" s="1">
        <v>41</v>
      </c>
      <c r="B42" s="1" t="s">
        <v>49</v>
      </c>
      <c r="C42" s="1">
        <v>22</v>
      </c>
      <c r="D42" s="1">
        <v>89</v>
      </c>
      <c r="E42" s="3" t="s">
        <v>14</v>
      </c>
    </row>
    <row r="43" spans="1:5" ht="15.75" x14ac:dyDescent="0.25">
      <c r="A43" s="1">
        <v>42</v>
      </c>
      <c r="B43" s="1" t="s">
        <v>50</v>
      </c>
      <c r="C43" s="1">
        <v>19</v>
      </c>
      <c r="D43" s="1">
        <v>87</v>
      </c>
      <c r="E43" s="3" t="s">
        <v>14</v>
      </c>
    </row>
    <row r="44" spans="1:5" ht="15.75" x14ac:dyDescent="0.25">
      <c r="A44" s="1">
        <v>43</v>
      </c>
      <c r="B44" s="1" t="s">
        <v>51</v>
      </c>
      <c r="C44" s="1">
        <v>72</v>
      </c>
      <c r="D44" s="1">
        <v>94</v>
      </c>
      <c r="E44" s="3" t="s">
        <v>6</v>
      </c>
    </row>
    <row r="45" spans="1:5" ht="15.75" x14ac:dyDescent="0.25">
      <c r="A45" s="1">
        <v>44</v>
      </c>
      <c r="B45" s="1" t="s">
        <v>52</v>
      </c>
      <c r="C45" s="1">
        <v>150</v>
      </c>
      <c r="D45" s="1">
        <v>94</v>
      </c>
      <c r="E45" s="3" t="s">
        <v>6</v>
      </c>
    </row>
    <row r="46" spans="1:5" ht="15.75" x14ac:dyDescent="0.25">
      <c r="A46" s="1">
        <v>45</v>
      </c>
      <c r="B46" s="1" t="s">
        <v>53</v>
      </c>
      <c r="C46" s="1">
        <v>60</v>
      </c>
      <c r="D46" s="1">
        <v>93</v>
      </c>
      <c r="E46" s="3" t="s">
        <v>6</v>
      </c>
    </row>
    <row r="47" spans="1:5" ht="15.75" x14ac:dyDescent="0.25">
      <c r="A47" s="1">
        <v>46</v>
      </c>
      <c r="B47" s="1" t="s">
        <v>54</v>
      </c>
      <c r="C47" s="1">
        <v>17</v>
      </c>
      <c r="D47" s="1">
        <v>88</v>
      </c>
      <c r="E47" s="3" t="s">
        <v>14</v>
      </c>
    </row>
    <row r="48" spans="1:5" ht="15.75" x14ac:dyDescent="0.25">
      <c r="A48" s="1">
        <v>47</v>
      </c>
      <c r="B48" s="1" t="s">
        <v>5</v>
      </c>
      <c r="C48" s="1">
        <v>55</v>
      </c>
      <c r="D48" s="1">
        <v>88</v>
      </c>
      <c r="E48" s="3" t="s">
        <v>14</v>
      </c>
    </row>
    <row r="49" spans="1:5" ht="15.75" x14ac:dyDescent="0.25">
      <c r="A49" s="1">
        <v>48</v>
      </c>
      <c r="B49" s="1" t="s">
        <v>55</v>
      </c>
      <c r="C49" s="1">
        <v>18</v>
      </c>
      <c r="D49" s="1">
        <v>86</v>
      </c>
      <c r="E49" s="3" t="s">
        <v>14</v>
      </c>
    </row>
    <row r="50" spans="1:5" ht="15.75" x14ac:dyDescent="0.25">
      <c r="A50" s="1">
        <v>49</v>
      </c>
      <c r="B50" s="1" t="s">
        <v>55</v>
      </c>
      <c r="C50" s="1">
        <v>19</v>
      </c>
      <c r="D50" s="1">
        <v>88</v>
      </c>
      <c r="E50" s="3" t="s">
        <v>14</v>
      </c>
    </row>
    <row r="51" spans="1:5" ht="15.75" x14ac:dyDescent="0.25">
      <c r="A51" s="1">
        <v>50</v>
      </c>
      <c r="B51" s="1" t="s">
        <v>56</v>
      </c>
      <c r="C51" s="1">
        <v>109</v>
      </c>
      <c r="D51" s="1">
        <v>91</v>
      </c>
      <c r="E51" s="3" t="s">
        <v>6</v>
      </c>
    </row>
    <row r="52" spans="1:5" ht="15.75" x14ac:dyDescent="0.25">
      <c r="A52" s="1">
        <v>51</v>
      </c>
      <c r="B52" s="1" t="s">
        <v>57</v>
      </c>
      <c r="C52" s="1">
        <v>12</v>
      </c>
      <c r="D52" s="1">
        <v>87</v>
      </c>
      <c r="E52" s="3" t="s">
        <v>14</v>
      </c>
    </row>
    <row r="53" spans="1:5" ht="15.75" x14ac:dyDescent="0.25">
      <c r="A53" s="1">
        <v>52</v>
      </c>
      <c r="B53" s="1" t="s">
        <v>58</v>
      </c>
      <c r="C53" s="1">
        <v>35</v>
      </c>
      <c r="D53" s="1">
        <v>89</v>
      </c>
      <c r="E53" s="3" t="s">
        <v>14</v>
      </c>
    </row>
    <row r="54" spans="1:5" ht="15.75" x14ac:dyDescent="0.25">
      <c r="A54" s="1">
        <v>53</v>
      </c>
      <c r="B54" s="1" t="s">
        <v>59</v>
      </c>
      <c r="C54" s="1">
        <v>20</v>
      </c>
      <c r="D54" s="1">
        <v>89</v>
      </c>
      <c r="E54" s="3" t="s">
        <v>14</v>
      </c>
    </row>
    <row r="55" spans="1:5" ht="15.75" x14ac:dyDescent="0.25">
      <c r="A55" s="1">
        <v>54</v>
      </c>
      <c r="B55" s="1" t="s">
        <v>60</v>
      </c>
      <c r="C55" s="1">
        <v>210</v>
      </c>
      <c r="D55" s="1">
        <v>93</v>
      </c>
      <c r="E55" s="3" t="s">
        <v>6</v>
      </c>
    </row>
    <row r="56" spans="1:5" ht="15.75" x14ac:dyDescent="0.25">
      <c r="A56" s="1">
        <v>55</v>
      </c>
      <c r="B56" s="1" t="s">
        <v>12</v>
      </c>
      <c r="C56" s="1">
        <v>21</v>
      </c>
      <c r="D56" s="1">
        <v>78</v>
      </c>
      <c r="E56" s="3" t="s">
        <v>61</v>
      </c>
    </row>
    <row r="57" spans="1:5" ht="15.75" x14ac:dyDescent="0.25">
      <c r="A57" s="1">
        <v>56</v>
      </c>
      <c r="B57" s="1" t="s">
        <v>5</v>
      </c>
      <c r="C57" s="1">
        <v>37</v>
      </c>
      <c r="D57" s="1">
        <v>93</v>
      </c>
      <c r="E57" s="3" t="s">
        <v>6</v>
      </c>
    </row>
    <row r="58" spans="1:5" ht="15.75" x14ac:dyDescent="0.25">
      <c r="A58" s="1">
        <v>57</v>
      </c>
      <c r="B58" s="1" t="s">
        <v>62</v>
      </c>
      <c r="C58" s="1">
        <v>16</v>
      </c>
      <c r="D58" s="1">
        <v>89</v>
      </c>
      <c r="E58" s="3" t="s">
        <v>14</v>
      </c>
    </row>
    <row r="59" spans="1:5" ht="15.75" x14ac:dyDescent="0.25">
      <c r="A59" s="1">
        <v>58</v>
      </c>
      <c r="B59" s="1" t="s">
        <v>63</v>
      </c>
      <c r="C59" s="1">
        <v>58</v>
      </c>
      <c r="D59" s="1">
        <v>88</v>
      </c>
      <c r="E59" s="3" t="s">
        <v>14</v>
      </c>
    </row>
    <row r="60" spans="1:5" ht="15.75" x14ac:dyDescent="0.25">
      <c r="A60" s="1">
        <v>59</v>
      </c>
      <c r="B60" s="1" t="s">
        <v>64</v>
      </c>
      <c r="C60" s="1">
        <v>75</v>
      </c>
      <c r="D60" s="1">
        <v>92</v>
      </c>
      <c r="E60" s="3" t="s">
        <v>6</v>
      </c>
    </row>
    <row r="61" spans="1:5" ht="15.75" x14ac:dyDescent="0.25">
      <c r="A61" s="1">
        <v>60</v>
      </c>
      <c r="B61" s="1" t="s">
        <v>65</v>
      </c>
      <c r="C61" s="1">
        <v>39</v>
      </c>
      <c r="D61" s="1">
        <v>88</v>
      </c>
      <c r="E61" s="3" t="s">
        <v>14</v>
      </c>
    </row>
    <row r="62" spans="1:5" ht="15.75" x14ac:dyDescent="0.25">
      <c r="A62" s="1">
        <v>61</v>
      </c>
      <c r="B62" s="1" t="s">
        <v>66</v>
      </c>
      <c r="C62" s="1">
        <v>300</v>
      </c>
      <c r="D62" s="1">
        <v>96</v>
      </c>
      <c r="E62" s="3" t="s">
        <v>22</v>
      </c>
    </row>
    <row r="63" spans="1:5" ht="15.75" x14ac:dyDescent="0.25">
      <c r="A63" s="1">
        <v>62</v>
      </c>
      <c r="B63" s="1" t="s">
        <v>60</v>
      </c>
      <c r="C63" s="1">
        <v>35</v>
      </c>
      <c r="D63" s="1">
        <v>90</v>
      </c>
      <c r="E63" s="3" t="s">
        <v>6</v>
      </c>
    </row>
    <row r="64" spans="1:5" ht="15.75" x14ac:dyDescent="0.25">
      <c r="A64" s="1">
        <v>63</v>
      </c>
      <c r="B64" s="1" t="s">
        <v>59</v>
      </c>
      <c r="C64" s="1">
        <v>22</v>
      </c>
      <c r="D64" s="1">
        <v>90</v>
      </c>
      <c r="E64" s="3" t="s">
        <v>6</v>
      </c>
    </row>
    <row r="65" spans="1:5" ht="15.75" x14ac:dyDescent="0.25">
      <c r="A65" s="1">
        <v>64</v>
      </c>
      <c r="B65" s="1" t="s">
        <v>5</v>
      </c>
      <c r="C65" s="1">
        <v>90</v>
      </c>
      <c r="D65" s="1">
        <v>92</v>
      </c>
      <c r="E65" s="3" t="s">
        <v>6</v>
      </c>
    </row>
    <row r="66" spans="1:5" ht="15.75" x14ac:dyDescent="0.25">
      <c r="A66" s="1">
        <v>65</v>
      </c>
      <c r="B66" s="1" t="s">
        <v>67</v>
      </c>
      <c r="C66" s="1">
        <v>95</v>
      </c>
      <c r="D66" s="1">
        <v>93</v>
      </c>
      <c r="E66" s="3" t="s">
        <v>6</v>
      </c>
    </row>
    <row r="67" spans="1:5" ht="15.75" x14ac:dyDescent="0.25">
      <c r="A67" s="1">
        <v>66</v>
      </c>
      <c r="B67" s="1" t="s">
        <v>68</v>
      </c>
      <c r="C67" s="1">
        <v>21</v>
      </c>
      <c r="D67" s="1">
        <v>89</v>
      </c>
      <c r="E67" s="3" t="s">
        <v>14</v>
      </c>
    </row>
    <row r="68" spans="1:5" ht="15.75" x14ac:dyDescent="0.25">
      <c r="A68" s="1">
        <v>67</v>
      </c>
      <c r="B68" s="1" t="s">
        <v>69</v>
      </c>
      <c r="C68" s="1">
        <v>10</v>
      </c>
      <c r="D68" s="1">
        <v>83</v>
      </c>
      <c r="E68" s="3" t="s">
        <v>9</v>
      </c>
    </row>
    <row r="69" spans="1:5" ht="15.75" x14ac:dyDescent="0.25">
      <c r="A69" s="1">
        <v>68</v>
      </c>
      <c r="B69" s="1" t="s">
        <v>70</v>
      </c>
      <c r="C69" s="1">
        <v>25</v>
      </c>
      <c r="D69" s="1">
        <v>86</v>
      </c>
      <c r="E69" s="3" t="s">
        <v>14</v>
      </c>
    </row>
    <row r="70" spans="1:5" ht="15.75" x14ac:dyDescent="0.25">
      <c r="A70" s="1">
        <v>69</v>
      </c>
      <c r="B70" s="1" t="s">
        <v>71</v>
      </c>
      <c r="C70" s="1">
        <v>29</v>
      </c>
      <c r="D70" s="1">
        <v>90</v>
      </c>
      <c r="E70" s="3" t="s">
        <v>6</v>
      </c>
    </row>
    <row r="71" spans="1:5" ht="15.75" x14ac:dyDescent="0.25">
      <c r="A71" s="1">
        <v>70</v>
      </c>
      <c r="B71" s="1" t="s">
        <v>72</v>
      </c>
      <c r="C71" s="1">
        <v>23</v>
      </c>
      <c r="D71" s="1">
        <v>89</v>
      </c>
      <c r="E71" s="3" t="s">
        <v>14</v>
      </c>
    </row>
    <row r="72" spans="1:5" ht="15.75" x14ac:dyDescent="0.25">
      <c r="A72" s="1">
        <v>71</v>
      </c>
      <c r="B72" s="1" t="s">
        <v>73</v>
      </c>
      <c r="C72" s="1">
        <v>90</v>
      </c>
      <c r="D72" s="1">
        <v>96</v>
      </c>
      <c r="E72" s="3" t="s">
        <v>22</v>
      </c>
    </row>
    <row r="73" spans="1:5" ht="15.75" x14ac:dyDescent="0.25">
      <c r="A73" s="1">
        <v>72</v>
      </c>
      <c r="B73" s="1" t="s">
        <v>59</v>
      </c>
      <c r="C73" s="1">
        <v>18</v>
      </c>
      <c r="D73" s="1">
        <v>88</v>
      </c>
      <c r="E73" s="3" t="s">
        <v>14</v>
      </c>
    </row>
    <row r="74" spans="1:5" ht="15.75" x14ac:dyDescent="0.25">
      <c r="A74" s="1">
        <v>73</v>
      </c>
      <c r="B74" s="1" t="s">
        <v>74</v>
      </c>
      <c r="C74" s="1">
        <v>54</v>
      </c>
      <c r="D74" s="1">
        <v>89</v>
      </c>
      <c r="E74" s="3" t="s">
        <v>14</v>
      </c>
    </row>
    <row r="75" spans="1:5" ht="15.75" x14ac:dyDescent="0.25">
      <c r="A75" s="1">
        <v>74</v>
      </c>
      <c r="B75" s="1" t="s">
        <v>75</v>
      </c>
      <c r="C75" s="1">
        <v>62</v>
      </c>
      <c r="D75" s="1">
        <v>96</v>
      </c>
      <c r="E75" s="3" t="s">
        <v>22</v>
      </c>
    </row>
    <row r="76" spans="1:5" ht="15.75" x14ac:dyDescent="0.25">
      <c r="A76" s="1">
        <v>75</v>
      </c>
      <c r="B76" s="1" t="s">
        <v>76</v>
      </c>
      <c r="C76" s="1">
        <v>21</v>
      </c>
      <c r="D76" s="1">
        <v>88</v>
      </c>
      <c r="E76" s="3" t="s">
        <v>14</v>
      </c>
    </row>
    <row r="77" spans="1:5" ht="15.75" x14ac:dyDescent="0.25">
      <c r="A77" s="1">
        <v>76</v>
      </c>
      <c r="B77" s="1" t="s">
        <v>77</v>
      </c>
      <c r="C77" s="1">
        <v>37</v>
      </c>
      <c r="D77" s="1">
        <v>88</v>
      </c>
      <c r="E77" s="3" t="s">
        <v>14</v>
      </c>
    </row>
    <row r="78" spans="1:5" ht="15.75" x14ac:dyDescent="0.25">
      <c r="A78" s="1">
        <v>77</v>
      </c>
      <c r="B78" s="1" t="s">
        <v>78</v>
      </c>
      <c r="C78" s="1">
        <v>24</v>
      </c>
      <c r="D78" s="1">
        <v>86</v>
      </c>
      <c r="E78" s="3" t="s">
        <v>14</v>
      </c>
    </row>
    <row r="79" spans="1:5" ht="15.75" x14ac:dyDescent="0.25">
      <c r="A79" s="1">
        <v>78</v>
      </c>
      <c r="B79" s="1" t="s">
        <v>5</v>
      </c>
      <c r="C79" s="1">
        <v>52</v>
      </c>
      <c r="D79" s="1">
        <v>91</v>
      </c>
      <c r="E79" s="3" t="s">
        <v>6</v>
      </c>
    </row>
    <row r="80" spans="1:5" ht="15.75" x14ac:dyDescent="0.25">
      <c r="A80" s="1">
        <v>79</v>
      </c>
      <c r="B80" s="1" t="s">
        <v>79</v>
      </c>
      <c r="C80" s="1">
        <v>55</v>
      </c>
      <c r="D80" s="1">
        <v>88</v>
      </c>
      <c r="E80" s="3" t="s">
        <v>14</v>
      </c>
    </row>
    <row r="81" spans="1:5" ht="15.75" x14ac:dyDescent="0.25">
      <c r="A81" s="1">
        <v>80</v>
      </c>
      <c r="B81" s="1" t="s">
        <v>80</v>
      </c>
      <c r="C81" s="1">
        <v>440</v>
      </c>
      <c r="D81" s="1">
        <v>95</v>
      </c>
      <c r="E81" s="3" t="s">
        <v>22</v>
      </c>
    </row>
    <row r="82" spans="1:5" ht="15.75" x14ac:dyDescent="0.25">
      <c r="A82" s="1">
        <v>81</v>
      </c>
      <c r="B82" s="1" t="s">
        <v>81</v>
      </c>
      <c r="C82" s="1">
        <v>105</v>
      </c>
      <c r="D82" s="1">
        <v>90</v>
      </c>
      <c r="E82" s="3" t="s">
        <v>6</v>
      </c>
    </row>
    <row r="83" spans="1:5" ht="15.75" x14ac:dyDescent="0.25">
      <c r="A83" s="1">
        <v>82</v>
      </c>
      <c r="B83" s="1" t="s">
        <v>82</v>
      </c>
      <c r="C83" s="1">
        <v>40</v>
      </c>
      <c r="D83" s="1">
        <v>89</v>
      </c>
      <c r="E83" s="3" t="s">
        <v>14</v>
      </c>
    </row>
    <row r="84" spans="1:5" ht="15.75" x14ac:dyDescent="0.25">
      <c r="A84" s="1">
        <v>83</v>
      </c>
      <c r="B84" s="1" t="s">
        <v>83</v>
      </c>
      <c r="C84" s="1">
        <v>120</v>
      </c>
      <c r="D84" s="1">
        <v>92</v>
      </c>
      <c r="E84" s="3" t="s">
        <v>6</v>
      </c>
    </row>
    <row r="85" spans="1:5" ht="15.75" x14ac:dyDescent="0.25">
      <c r="A85" s="1">
        <v>84</v>
      </c>
      <c r="B85" s="1" t="s">
        <v>84</v>
      </c>
      <c r="C85" s="1">
        <v>26</v>
      </c>
      <c r="D85" s="1">
        <v>90</v>
      </c>
      <c r="E85" s="3" t="s">
        <v>6</v>
      </c>
    </row>
    <row r="86" spans="1:5" ht="15.75" x14ac:dyDescent="0.25">
      <c r="A86" s="1">
        <v>85</v>
      </c>
      <c r="B86" s="1" t="s">
        <v>85</v>
      </c>
      <c r="C86" s="1">
        <v>28</v>
      </c>
      <c r="D86" s="1">
        <v>88</v>
      </c>
      <c r="E86" s="3" t="s">
        <v>14</v>
      </c>
    </row>
    <row r="87" spans="1:5" ht="15.75" x14ac:dyDescent="0.25">
      <c r="A87" s="1">
        <v>86</v>
      </c>
      <c r="B87" s="1" t="s">
        <v>86</v>
      </c>
      <c r="C87" s="1">
        <v>150</v>
      </c>
      <c r="D87" s="1">
        <v>93</v>
      </c>
      <c r="E87" s="3" t="s">
        <v>6</v>
      </c>
    </row>
    <row r="88" spans="1:5" ht="15.75" x14ac:dyDescent="0.25">
      <c r="A88" s="1">
        <v>87</v>
      </c>
      <c r="B88" s="1" t="s">
        <v>5</v>
      </c>
      <c r="C88" s="1">
        <v>37</v>
      </c>
      <c r="D88" s="1">
        <v>91</v>
      </c>
      <c r="E88" s="3" t="s">
        <v>6</v>
      </c>
    </row>
    <row r="89" spans="1:5" ht="15.75" x14ac:dyDescent="0.25">
      <c r="A89" s="1">
        <v>88</v>
      </c>
      <c r="B89" s="1" t="s">
        <v>87</v>
      </c>
      <c r="C89" s="1">
        <v>43</v>
      </c>
      <c r="D89" s="1">
        <v>89</v>
      </c>
      <c r="E89" s="3" t="s">
        <v>14</v>
      </c>
    </row>
    <row r="90" spans="1:5" ht="15.75" x14ac:dyDescent="0.25">
      <c r="A90" s="1">
        <v>89</v>
      </c>
      <c r="B90" s="1" t="s">
        <v>88</v>
      </c>
      <c r="C90" s="1">
        <v>120</v>
      </c>
      <c r="D90" s="1">
        <v>91</v>
      </c>
      <c r="E90" s="3" t="s">
        <v>6</v>
      </c>
    </row>
    <row r="91" spans="1:5" ht="15.75" x14ac:dyDescent="0.25">
      <c r="A91" s="1">
        <v>90</v>
      </c>
      <c r="B91" s="1" t="s">
        <v>89</v>
      </c>
      <c r="C91" s="1">
        <v>25</v>
      </c>
      <c r="D91" s="1">
        <v>87</v>
      </c>
      <c r="E91" s="3" t="s">
        <v>14</v>
      </c>
    </row>
    <row r="92" spans="1:5" ht="15.75" x14ac:dyDescent="0.25">
      <c r="A92" s="1">
        <v>91</v>
      </c>
      <c r="B92" s="1" t="s">
        <v>90</v>
      </c>
      <c r="C92" s="1">
        <v>25</v>
      </c>
      <c r="D92" s="1">
        <v>88</v>
      </c>
      <c r="E92" s="3" t="s">
        <v>14</v>
      </c>
    </row>
    <row r="93" spans="1:5" ht="15.75" x14ac:dyDescent="0.25">
      <c r="A93" s="1">
        <v>92</v>
      </c>
      <c r="B93" s="1" t="s">
        <v>91</v>
      </c>
      <c r="C93" s="1">
        <v>40</v>
      </c>
      <c r="D93" s="1">
        <v>90</v>
      </c>
      <c r="E93" s="3" t="s">
        <v>6</v>
      </c>
    </row>
    <row r="94" spans="1:5" ht="15.75" x14ac:dyDescent="0.25">
      <c r="A94" s="1">
        <v>93</v>
      </c>
      <c r="B94" s="1" t="s">
        <v>92</v>
      </c>
      <c r="C94" s="1">
        <v>57</v>
      </c>
      <c r="D94" s="1">
        <v>90</v>
      </c>
      <c r="E94" s="3" t="s">
        <v>6</v>
      </c>
    </row>
    <row r="95" spans="1:5" ht="15.75" x14ac:dyDescent="0.25">
      <c r="A95" s="1">
        <v>94</v>
      </c>
      <c r="B95" s="1" t="s">
        <v>93</v>
      </c>
      <c r="C95" s="1">
        <v>27</v>
      </c>
      <c r="D95" s="1">
        <v>89</v>
      </c>
      <c r="E95" s="3" t="s">
        <v>14</v>
      </c>
    </row>
    <row r="96" spans="1:5" ht="15.75" x14ac:dyDescent="0.25">
      <c r="A96" s="1">
        <v>95</v>
      </c>
      <c r="B96" s="1" t="s">
        <v>94</v>
      </c>
      <c r="C96" s="1">
        <v>19</v>
      </c>
      <c r="D96" s="1">
        <v>88</v>
      </c>
      <c r="E96" s="3" t="s">
        <v>14</v>
      </c>
    </row>
    <row r="97" spans="1:5" ht="15.75" x14ac:dyDescent="0.25">
      <c r="A97" s="1">
        <v>96</v>
      </c>
      <c r="B97" s="1" t="s">
        <v>95</v>
      </c>
      <c r="C97" s="1">
        <v>15</v>
      </c>
      <c r="D97" s="1">
        <v>87</v>
      </c>
      <c r="E97" s="3" t="s">
        <v>14</v>
      </c>
    </row>
    <row r="98" spans="1:5" ht="15.75" x14ac:dyDescent="0.25">
      <c r="A98" s="1">
        <v>97</v>
      </c>
      <c r="B98" s="1" t="s">
        <v>96</v>
      </c>
      <c r="C98" s="1">
        <v>13</v>
      </c>
      <c r="D98" s="1">
        <v>88</v>
      </c>
      <c r="E98" s="3" t="s">
        <v>14</v>
      </c>
    </row>
    <row r="99" spans="1:5" ht="15.75" x14ac:dyDescent="0.25">
      <c r="A99" s="1">
        <v>98</v>
      </c>
      <c r="B99" s="1" t="s">
        <v>97</v>
      </c>
      <c r="C99" s="1">
        <v>69</v>
      </c>
      <c r="D99" s="1">
        <v>92</v>
      </c>
      <c r="E99" s="3" t="s">
        <v>6</v>
      </c>
    </row>
    <row r="100" spans="1:5" ht="15.75" x14ac:dyDescent="0.25">
      <c r="A100" s="1">
        <v>99</v>
      </c>
      <c r="B100" s="1" t="s">
        <v>94</v>
      </c>
      <c r="C100" s="1">
        <v>13</v>
      </c>
      <c r="D100" s="1">
        <v>87</v>
      </c>
      <c r="E100" s="3" t="s">
        <v>14</v>
      </c>
    </row>
    <row r="101" spans="1:5" ht="15.75" x14ac:dyDescent="0.25">
      <c r="A101" s="1">
        <v>100</v>
      </c>
      <c r="B101" s="1" t="s">
        <v>98</v>
      </c>
      <c r="C101" s="1">
        <v>50</v>
      </c>
      <c r="D101" s="1">
        <v>87</v>
      </c>
      <c r="E101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A4A2-D1B0-43AD-B647-8438AE0AE6B1}">
  <dimension ref="A1:K101"/>
  <sheetViews>
    <sheetView workbookViewId="0">
      <selection activeCell="K4" sqref="K4"/>
    </sheetView>
  </sheetViews>
  <sheetFormatPr defaultRowHeight="15" x14ac:dyDescent="0.25"/>
  <cols>
    <col min="1" max="1" width="8.7109375" bestFit="1" customWidth="1"/>
    <col min="2" max="2" width="44.5703125" bestFit="1" customWidth="1"/>
    <col min="3" max="3" width="5.85546875" bestFit="1" customWidth="1"/>
    <col min="4" max="4" width="6.42578125" bestFit="1" customWidth="1"/>
    <col min="5" max="5" width="11.28515625" bestFit="1" customWidth="1"/>
    <col min="7" max="7" width="19.5703125" bestFit="1" customWidth="1"/>
    <col min="8" max="8" width="9.42578125" bestFit="1" customWidth="1"/>
    <col min="9" max="9" width="15.42578125" bestFit="1" customWidth="1"/>
    <col min="11" max="11" width="110.140625" bestFit="1" customWidth="1"/>
  </cols>
  <sheetData>
    <row r="1" spans="1:1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4" t="s">
        <v>105</v>
      </c>
      <c r="I1" s="4" t="s">
        <v>106</v>
      </c>
      <c r="K1" t="s">
        <v>108</v>
      </c>
    </row>
    <row r="2" spans="1:11" ht="15.75" x14ac:dyDescent="0.25">
      <c r="A2" s="1">
        <v>1</v>
      </c>
      <c r="B2" s="1" t="s">
        <v>5</v>
      </c>
      <c r="C2" s="1">
        <v>52</v>
      </c>
      <c r="D2" s="1">
        <v>91</v>
      </c>
      <c r="E2" s="3" t="s">
        <v>6</v>
      </c>
      <c r="G2" t="s">
        <v>99</v>
      </c>
      <c r="H2">
        <f>COUNTIF(E2:E101, "Classic")</f>
        <v>7</v>
      </c>
      <c r="I2" s="6">
        <f>AVERAGEIF(E2:E101,"Classic",C2:C101)</f>
        <v>269.57142857142856</v>
      </c>
      <c r="K2" t="s">
        <v>109</v>
      </c>
    </row>
    <row r="3" spans="1:11" ht="15.75" x14ac:dyDescent="0.25">
      <c r="A3" s="1">
        <v>2</v>
      </c>
      <c r="B3" s="1" t="s">
        <v>7</v>
      </c>
      <c r="C3" s="1">
        <v>30</v>
      </c>
      <c r="D3" s="1">
        <v>90</v>
      </c>
      <c r="E3" s="3" t="s">
        <v>6</v>
      </c>
      <c r="G3" t="s">
        <v>100</v>
      </c>
      <c r="H3">
        <f>H4</f>
        <v>45</v>
      </c>
      <c r="I3" s="6">
        <f>AVERAGEIF(E2:E101,"Outstanding",C2:C101)</f>
        <v>73</v>
      </c>
      <c r="K3" t="s">
        <v>110</v>
      </c>
    </row>
    <row r="4" spans="1:11" ht="15.75" x14ac:dyDescent="0.25">
      <c r="A4" s="1">
        <v>3</v>
      </c>
      <c r="B4" s="1" t="s">
        <v>8</v>
      </c>
      <c r="C4" s="1">
        <v>10</v>
      </c>
      <c r="D4" s="1">
        <v>80</v>
      </c>
      <c r="E4" s="3" t="s">
        <v>9</v>
      </c>
      <c r="G4" t="s">
        <v>101</v>
      </c>
      <c r="H4">
        <f>COUNTIF(E2:E101, "Very GOod")</f>
        <v>45</v>
      </c>
      <c r="I4" s="6">
        <f>AVERAGEIF(E2:E101,"Very Good",C2:C101)</f>
        <v>30.355555555555554</v>
      </c>
      <c r="K4" t="s">
        <v>111</v>
      </c>
    </row>
    <row r="5" spans="1:11" ht="15.75" x14ac:dyDescent="0.25">
      <c r="A5" s="1">
        <v>4</v>
      </c>
      <c r="B5" s="1" t="s">
        <v>10</v>
      </c>
      <c r="C5" s="1">
        <v>120</v>
      </c>
      <c r="D5" s="1">
        <v>93</v>
      </c>
      <c r="E5" s="3" t="s">
        <v>6</v>
      </c>
      <c r="G5" t="s">
        <v>102</v>
      </c>
      <c r="H5">
        <f>COUNTIF(E2:E101, "Good")</f>
        <v>7</v>
      </c>
      <c r="I5" s="6">
        <f>AVERAGEIF(E2:E101,"Good",C2:C101)</f>
        <v>16.714285714285715</v>
      </c>
    </row>
    <row r="6" spans="1:11" ht="15.75" x14ac:dyDescent="0.25">
      <c r="A6" s="1">
        <v>5</v>
      </c>
      <c r="B6" s="1" t="s">
        <v>11</v>
      </c>
      <c r="C6" s="1">
        <v>75</v>
      </c>
      <c r="D6" s="1">
        <v>91</v>
      </c>
      <c r="E6" s="3" t="s">
        <v>6</v>
      </c>
      <c r="G6" t="s">
        <v>103</v>
      </c>
      <c r="H6">
        <f>COUNTIF(E2:E101, "Mediocore")</f>
        <v>0</v>
      </c>
      <c r="I6" s="5" t="s">
        <v>107</v>
      </c>
    </row>
    <row r="7" spans="1:11" ht="15.75" x14ac:dyDescent="0.25">
      <c r="A7" s="1">
        <v>6</v>
      </c>
      <c r="B7" s="1" t="s">
        <v>12</v>
      </c>
      <c r="C7" s="1">
        <v>20</v>
      </c>
      <c r="D7" s="1">
        <v>83</v>
      </c>
      <c r="E7" s="3" t="s">
        <v>9</v>
      </c>
      <c r="G7" t="s">
        <v>104</v>
      </c>
      <c r="H7">
        <f>COUNTIF(E2:E101, "Not Reccommended")</f>
        <v>0</v>
      </c>
      <c r="I7" s="5" t="s">
        <v>107</v>
      </c>
    </row>
    <row r="8" spans="1:11" ht="15.75" x14ac:dyDescent="0.25">
      <c r="A8" s="1">
        <v>7</v>
      </c>
      <c r="B8" s="1" t="s">
        <v>13</v>
      </c>
      <c r="C8" s="1">
        <v>39</v>
      </c>
      <c r="D8" s="1">
        <v>87</v>
      </c>
      <c r="E8" s="3" t="s">
        <v>14</v>
      </c>
    </row>
    <row r="9" spans="1:11" ht="15.75" x14ac:dyDescent="0.25">
      <c r="A9" s="1">
        <v>8</v>
      </c>
      <c r="B9" s="1" t="s">
        <v>15</v>
      </c>
      <c r="C9" s="1">
        <v>50</v>
      </c>
      <c r="D9" s="1">
        <v>91</v>
      </c>
      <c r="E9" s="3" t="s">
        <v>6</v>
      </c>
    </row>
    <row r="10" spans="1:11" ht="15.75" x14ac:dyDescent="0.25">
      <c r="A10" s="1">
        <v>9</v>
      </c>
      <c r="B10" s="1" t="s">
        <v>16</v>
      </c>
      <c r="C10" s="1">
        <v>18</v>
      </c>
      <c r="D10" s="1">
        <v>87</v>
      </c>
      <c r="E10" s="3" t="s">
        <v>14</v>
      </c>
    </row>
    <row r="11" spans="1:11" ht="15.75" x14ac:dyDescent="0.25">
      <c r="A11" s="1">
        <v>10</v>
      </c>
      <c r="B11" s="1" t="s">
        <v>17</v>
      </c>
      <c r="C11" s="1">
        <v>31</v>
      </c>
      <c r="D11" s="1">
        <v>88</v>
      </c>
      <c r="E11" s="3" t="s">
        <v>14</v>
      </c>
    </row>
    <row r="12" spans="1:11" ht="15.75" x14ac:dyDescent="0.25">
      <c r="A12" s="1">
        <v>11</v>
      </c>
      <c r="B12" s="1" t="s">
        <v>18</v>
      </c>
      <c r="C12" s="1">
        <v>18</v>
      </c>
      <c r="D12" s="1">
        <v>84</v>
      </c>
      <c r="E12" s="3" t="s">
        <v>9</v>
      </c>
    </row>
    <row r="13" spans="1:11" ht="15.75" x14ac:dyDescent="0.25">
      <c r="A13" s="1">
        <v>12</v>
      </c>
      <c r="B13" s="1" t="s">
        <v>19</v>
      </c>
      <c r="C13" s="1">
        <v>48</v>
      </c>
      <c r="D13" s="1">
        <v>93</v>
      </c>
      <c r="E13" s="3" t="s">
        <v>6</v>
      </c>
    </row>
    <row r="14" spans="1:11" ht="15.75" x14ac:dyDescent="0.25">
      <c r="A14" s="1">
        <v>13</v>
      </c>
      <c r="B14" s="1" t="s">
        <v>20</v>
      </c>
      <c r="C14" s="1">
        <v>55</v>
      </c>
      <c r="D14" s="1">
        <v>92</v>
      </c>
      <c r="E14" s="3" t="s">
        <v>6</v>
      </c>
    </row>
    <row r="15" spans="1:11" ht="15.75" x14ac:dyDescent="0.25">
      <c r="A15" s="1">
        <v>14</v>
      </c>
      <c r="B15" s="1" t="s">
        <v>21</v>
      </c>
      <c r="C15" s="1">
        <v>375</v>
      </c>
      <c r="D15" s="1">
        <v>98</v>
      </c>
      <c r="E15" s="3" t="s">
        <v>22</v>
      </c>
    </row>
    <row r="16" spans="1:11" ht="15.75" x14ac:dyDescent="0.25">
      <c r="A16" s="1">
        <v>15</v>
      </c>
      <c r="B16" s="1" t="s">
        <v>23</v>
      </c>
      <c r="C16" s="1">
        <v>56</v>
      </c>
      <c r="D16" s="1">
        <v>91</v>
      </c>
      <c r="E16" s="3" t="s">
        <v>6</v>
      </c>
    </row>
    <row r="17" spans="1:5" ht="15.75" x14ac:dyDescent="0.25">
      <c r="A17" s="1">
        <v>16</v>
      </c>
      <c r="B17" s="1" t="s">
        <v>24</v>
      </c>
      <c r="C17" s="1">
        <v>38</v>
      </c>
      <c r="D17" s="1">
        <v>90</v>
      </c>
      <c r="E17" s="3" t="s">
        <v>6</v>
      </c>
    </row>
    <row r="18" spans="1:5" ht="15.75" x14ac:dyDescent="0.25">
      <c r="A18" s="1">
        <v>17</v>
      </c>
      <c r="B18" s="1" t="s">
        <v>25</v>
      </c>
      <c r="C18" s="1">
        <v>100</v>
      </c>
      <c r="D18" s="1">
        <v>93</v>
      </c>
      <c r="E18" s="3" t="s">
        <v>6</v>
      </c>
    </row>
    <row r="19" spans="1:5" ht="15.75" x14ac:dyDescent="0.25">
      <c r="A19" s="1">
        <v>18</v>
      </c>
      <c r="B19" s="1" t="s">
        <v>26</v>
      </c>
      <c r="C19" s="1">
        <v>42</v>
      </c>
      <c r="D19" s="1">
        <v>92</v>
      </c>
      <c r="E19" s="3" t="s">
        <v>6</v>
      </c>
    </row>
    <row r="20" spans="1:5" ht="15.75" x14ac:dyDescent="0.25">
      <c r="A20" s="1">
        <v>19</v>
      </c>
      <c r="B20" s="1" t="s">
        <v>27</v>
      </c>
      <c r="C20" s="1">
        <v>35</v>
      </c>
      <c r="D20" s="1">
        <v>89</v>
      </c>
      <c r="E20" s="3" t="s">
        <v>14</v>
      </c>
    </row>
    <row r="21" spans="1:5" ht="15.75" x14ac:dyDescent="0.25">
      <c r="A21" s="1">
        <v>20</v>
      </c>
      <c r="B21" s="1" t="s">
        <v>28</v>
      </c>
      <c r="C21" s="1">
        <v>440</v>
      </c>
      <c r="D21" s="1">
        <v>97</v>
      </c>
      <c r="E21" s="3" t="s">
        <v>22</v>
      </c>
    </row>
    <row r="22" spans="1:5" ht="15.75" x14ac:dyDescent="0.25">
      <c r="A22" s="1">
        <v>21</v>
      </c>
      <c r="B22" s="1" t="s">
        <v>29</v>
      </c>
      <c r="C22" s="1">
        <v>39</v>
      </c>
      <c r="D22" s="1">
        <v>89</v>
      </c>
      <c r="E22" s="3" t="s">
        <v>14</v>
      </c>
    </row>
    <row r="23" spans="1:5" ht="15.75" x14ac:dyDescent="0.25">
      <c r="A23" s="1">
        <v>22</v>
      </c>
      <c r="B23" s="1" t="s">
        <v>30</v>
      </c>
      <c r="C23" s="1">
        <v>35</v>
      </c>
      <c r="D23" s="1">
        <v>87</v>
      </c>
      <c r="E23" s="3" t="s">
        <v>14</v>
      </c>
    </row>
    <row r="24" spans="1:5" ht="15.75" x14ac:dyDescent="0.25">
      <c r="A24" s="1">
        <v>23</v>
      </c>
      <c r="B24" s="1" t="s">
        <v>31</v>
      </c>
      <c r="C24" s="1">
        <v>38</v>
      </c>
      <c r="D24" s="1">
        <v>86</v>
      </c>
      <c r="E24" s="3" t="s">
        <v>14</v>
      </c>
    </row>
    <row r="25" spans="1:5" ht="15.75" x14ac:dyDescent="0.25">
      <c r="A25" s="1">
        <v>24</v>
      </c>
      <c r="B25" s="1" t="s">
        <v>32</v>
      </c>
      <c r="C25" s="1">
        <v>53</v>
      </c>
      <c r="D25" s="1">
        <v>88</v>
      </c>
      <c r="E25" s="3" t="s">
        <v>14</v>
      </c>
    </row>
    <row r="26" spans="1:5" ht="15.75" x14ac:dyDescent="0.25">
      <c r="A26" s="1">
        <v>25</v>
      </c>
      <c r="B26" s="1" t="s">
        <v>33</v>
      </c>
      <c r="C26" s="1">
        <v>20</v>
      </c>
      <c r="D26" s="1">
        <v>88</v>
      </c>
      <c r="E26" s="3" t="s">
        <v>14</v>
      </c>
    </row>
    <row r="27" spans="1:5" ht="15.75" x14ac:dyDescent="0.25">
      <c r="A27" s="1">
        <v>26</v>
      </c>
      <c r="B27" s="1" t="s">
        <v>34</v>
      </c>
      <c r="C27" s="1">
        <v>25</v>
      </c>
      <c r="D27" s="1">
        <v>89</v>
      </c>
      <c r="E27" s="3" t="s">
        <v>14</v>
      </c>
    </row>
    <row r="28" spans="1:5" ht="15.75" x14ac:dyDescent="0.25">
      <c r="A28" s="1">
        <v>27</v>
      </c>
      <c r="B28" s="1" t="s">
        <v>35</v>
      </c>
      <c r="C28" s="1">
        <v>20</v>
      </c>
      <c r="D28" s="1">
        <v>84</v>
      </c>
      <c r="E28" s="3" t="s">
        <v>9</v>
      </c>
    </row>
    <row r="29" spans="1:5" ht="15.75" x14ac:dyDescent="0.25">
      <c r="A29" s="1">
        <v>28</v>
      </c>
      <c r="B29" s="1" t="s">
        <v>36</v>
      </c>
      <c r="C29" s="1">
        <v>29</v>
      </c>
      <c r="D29" s="1">
        <v>82</v>
      </c>
      <c r="E29" s="3" t="s">
        <v>9</v>
      </c>
    </row>
    <row r="30" spans="1:5" ht="15.75" x14ac:dyDescent="0.25">
      <c r="A30" s="1">
        <v>29</v>
      </c>
      <c r="B30" s="1" t="s">
        <v>37</v>
      </c>
      <c r="C30" s="1">
        <v>90</v>
      </c>
      <c r="D30" s="1">
        <v>91</v>
      </c>
      <c r="E30" s="3" t="s">
        <v>6</v>
      </c>
    </row>
    <row r="31" spans="1:5" ht="15.75" x14ac:dyDescent="0.25">
      <c r="A31" s="1">
        <v>30</v>
      </c>
      <c r="B31" s="1" t="s">
        <v>38</v>
      </c>
      <c r="C31" s="1">
        <v>125</v>
      </c>
      <c r="D31" s="1">
        <v>91</v>
      </c>
      <c r="E31" s="3" t="s">
        <v>6</v>
      </c>
    </row>
    <row r="32" spans="1:5" ht="15.75" x14ac:dyDescent="0.25">
      <c r="A32" s="1">
        <v>31</v>
      </c>
      <c r="B32" s="1" t="s">
        <v>39</v>
      </c>
      <c r="C32" s="1">
        <v>55</v>
      </c>
      <c r="D32" s="1">
        <v>90</v>
      </c>
      <c r="E32" s="3" t="s">
        <v>6</v>
      </c>
    </row>
    <row r="33" spans="1:5" ht="15.75" x14ac:dyDescent="0.25">
      <c r="A33" s="1">
        <v>32</v>
      </c>
      <c r="B33" s="1" t="s">
        <v>40</v>
      </c>
      <c r="C33" s="1">
        <v>25</v>
      </c>
      <c r="D33" s="1">
        <v>92</v>
      </c>
      <c r="E33" s="3" t="s">
        <v>6</v>
      </c>
    </row>
    <row r="34" spans="1:5" ht="15.75" x14ac:dyDescent="0.25">
      <c r="A34" s="1">
        <v>33</v>
      </c>
      <c r="B34" s="1" t="s">
        <v>41</v>
      </c>
      <c r="C34" s="1">
        <v>25</v>
      </c>
      <c r="D34" s="1">
        <v>93</v>
      </c>
      <c r="E34" s="3" t="s">
        <v>6</v>
      </c>
    </row>
    <row r="35" spans="1:5" ht="15.75" x14ac:dyDescent="0.25">
      <c r="A35" s="1">
        <v>34</v>
      </c>
      <c r="B35" s="1" t="s">
        <v>42</v>
      </c>
      <c r="C35" s="1">
        <v>32</v>
      </c>
      <c r="D35" s="1">
        <v>89</v>
      </c>
      <c r="E35" s="3" t="s">
        <v>14</v>
      </c>
    </row>
    <row r="36" spans="1:5" ht="15.75" x14ac:dyDescent="0.25">
      <c r="A36" s="1">
        <v>35</v>
      </c>
      <c r="B36" s="1" t="s">
        <v>43</v>
      </c>
      <c r="C36" s="1">
        <v>10</v>
      </c>
      <c r="D36" s="1">
        <v>84</v>
      </c>
      <c r="E36" s="3" t="s">
        <v>9</v>
      </c>
    </row>
    <row r="37" spans="1:5" ht="15.75" x14ac:dyDescent="0.25">
      <c r="A37" s="1">
        <v>36</v>
      </c>
      <c r="B37" s="1" t="s">
        <v>44</v>
      </c>
      <c r="C37" s="1">
        <v>180</v>
      </c>
      <c r="D37" s="1">
        <v>97</v>
      </c>
      <c r="E37" s="3" t="s">
        <v>22</v>
      </c>
    </row>
    <row r="38" spans="1:5" ht="15.75" x14ac:dyDescent="0.25">
      <c r="A38" s="1">
        <v>37</v>
      </c>
      <c r="B38" s="1" t="s">
        <v>45</v>
      </c>
      <c r="C38" s="1">
        <v>27</v>
      </c>
      <c r="D38" s="1">
        <v>90</v>
      </c>
      <c r="E38" s="3" t="s">
        <v>6</v>
      </c>
    </row>
    <row r="39" spans="1:5" ht="15.75" x14ac:dyDescent="0.25">
      <c r="A39" s="1">
        <v>38</v>
      </c>
      <c r="B39" s="1" t="s">
        <v>46</v>
      </c>
      <c r="C39" s="1">
        <v>147</v>
      </c>
      <c r="D39" s="1">
        <v>92</v>
      </c>
      <c r="E39" s="3" t="s">
        <v>6</v>
      </c>
    </row>
    <row r="40" spans="1:5" ht="15.75" x14ac:dyDescent="0.25">
      <c r="A40" s="1">
        <v>39</v>
      </c>
      <c r="B40" s="1" t="s">
        <v>47</v>
      </c>
      <c r="C40" s="1">
        <v>38</v>
      </c>
      <c r="D40" s="1">
        <v>89</v>
      </c>
      <c r="E40" s="3" t="s">
        <v>14</v>
      </c>
    </row>
    <row r="41" spans="1:5" ht="15.75" x14ac:dyDescent="0.25">
      <c r="A41" s="1">
        <v>40</v>
      </c>
      <c r="B41" s="1" t="s">
        <v>48</v>
      </c>
      <c r="C41" s="1">
        <v>57</v>
      </c>
      <c r="D41" s="1">
        <v>89</v>
      </c>
      <c r="E41" s="3" t="s">
        <v>14</v>
      </c>
    </row>
    <row r="42" spans="1:5" ht="15.75" x14ac:dyDescent="0.25">
      <c r="A42" s="1">
        <v>41</v>
      </c>
      <c r="B42" s="1" t="s">
        <v>49</v>
      </c>
      <c r="C42" s="1">
        <v>22</v>
      </c>
      <c r="D42" s="1">
        <v>89</v>
      </c>
      <c r="E42" s="3" t="s">
        <v>14</v>
      </c>
    </row>
    <row r="43" spans="1:5" ht="15.75" x14ac:dyDescent="0.25">
      <c r="A43" s="1">
        <v>42</v>
      </c>
      <c r="B43" s="1" t="s">
        <v>50</v>
      </c>
      <c r="C43" s="1">
        <v>19</v>
      </c>
      <c r="D43" s="1">
        <v>87</v>
      </c>
      <c r="E43" s="3" t="s">
        <v>14</v>
      </c>
    </row>
    <row r="44" spans="1:5" ht="15.75" x14ac:dyDescent="0.25">
      <c r="A44" s="1">
        <v>43</v>
      </c>
      <c r="B44" s="1" t="s">
        <v>51</v>
      </c>
      <c r="C44" s="1">
        <v>72</v>
      </c>
      <c r="D44" s="1">
        <v>94</v>
      </c>
      <c r="E44" s="3" t="s">
        <v>6</v>
      </c>
    </row>
    <row r="45" spans="1:5" ht="15.75" x14ac:dyDescent="0.25">
      <c r="A45" s="1">
        <v>44</v>
      </c>
      <c r="B45" s="1" t="s">
        <v>52</v>
      </c>
      <c r="C45" s="1">
        <v>150</v>
      </c>
      <c r="D45" s="1">
        <v>94</v>
      </c>
      <c r="E45" s="3" t="s">
        <v>6</v>
      </c>
    </row>
    <row r="46" spans="1:5" ht="15.75" x14ac:dyDescent="0.25">
      <c r="A46" s="1">
        <v>45</v>
      </c>
      <c r="B46" s="1" t="s">
        <v>53</v>
      </c>
      <c r="C46" s="1">
        <v>60</v>
      </c>
      <c r="D46" s="1">
        <v>93</v>
      </c>
      <c r="E46" s="3" t="s">
        <v>6</v>
      </c>
    </row>
    <row r="47" spans="1:5" ht="15.75" x14ac:dyDescent="0.25">
      <c r="A47" s="1">
        <v>46</v>
      </c>
      <c r="B47" s="1" t="s">
        <v>54</v>
      </c>
      <c r="C47" s="1">
        <v>17</v>
      </c>
      <c r="D47" s="1">
        <v>88</v>
      </c>
      <c r="E47" s="3" t="s">
        <v>14</v>
      </c>
    </row>
    <row r="48" spans="1:5" ht="15.75" x14ac:dyDescent="0.25">
      <c r="A48" s="1">
        <v>47</v>
      </c>
      <c r="B48" s="1" t="s">
        <v>5</v>
      </c>
      <c r="C48" s="1">
        <v>55</v>
      </c>
      <c r="D48" s="1">
        <v>88</v>
      </c>
      <c r="E48" s="3" t="s">
        <v>14</v>
      </c>
    </row>
    <row r="49" spans="1:5" ht="15.75" x14ac:dyDescent="0.25">
      <c r="A49" s="1">
        <v>48</v>
      </c>
      <c r="B49" s="1" t="s">
        <v>55</v>
      </c>
      <c r="C49" s="1">
        <v>18</v>
      </c>
      <c r="D49" s="1">
        <v>86</v>
      </c>
      <c r="E49" s="3" t="s">
        <v>14</v>
      </c>
    </row>
    <row r="50" spans="1:5" ht="15.75" x14ac:dyDescent="0.25">
      <c r="A50" s="1">
        <v>49</v>
      </c>
      <c r="B50" s="1" t="s">
        <v>55</v>
      </c>
      <c r="C50" s="1">
        <v>19</v>
      </c>
      <c r="D50" s="1">
        <v>88</v>
      </c>
      <c r="E50" s="3" t="s">
        <v>14</v>
      </c>
    </row>
    <row r="51" spans="1:5" ht="15.75" x14ac:dyDescent="0.25">
      <c r="A51" s="1">
        <v>50</v>
      </c>
      <c r="B51" s="1" t="s">
        <v>56</v>
      </c>
      <c r="C51" s="1">
        <v>109</v>
      </c>
      <c r="D51" s="1">
        <v>91</v>
      </c>
      <c r="E51" s="3" t="s">
        <v>6</v>
      </c>
    </row>
    <row r="52" spans="1:5" ht="15.75" x14ac:dyDescent="0.25">
      <c r="A52" s="1">
        <v>51</v>
      </c>
      <c r="B52" s="1" t="s">
        <v>57</v>
      </c>
      <c r="C52" s="1">
        <v>12</v>
      </c>
      <c r="D52" s="1">
        <v>87</v>
      </c>
      <c r="E52" s="3" t="s">
        <v>14</v>
      </c>
    </row>
    <row r="53" spans="1:5" ht="15.75" x14ac:dyDescent="0.25">
      <c r="A53" s="1">
        <v>52</v>
      </c>
      <c r="B53" s="1" t="s">
        <v>58</v>
      </c>
      <c r="C53" s="1">
        <v>35</v>
      </c>
      <c r="D53" s="1">
        <v>89</v>
      </c>
      <c r="E53" s="3" t="s">
        <v>14</v>
      </c>
    </row>
    <row r="54" spans="1:5" ht="15.75" x14ac:dyDescent="0.25">
      <c r="A54" s="1">
        <v>53</v>
      </c>
      <c r="B54" s="1" t="s">
        <v>59</v>
      </c>
      <c r="C54" s="1">
        <v>20</v>
      </c>
      <c r="D54" s="1">
        <v>89</v>
      </c>
      <c r="E54" s="3" t="s">
        <v>14</v>
      </c>
    </row>
    <row r="55" spans="1:5" ht="15.75" x14ac:dyDescent="0.25">
      <c r="A55" s="1">
        <v>54</v>
      </c>
      <c r="B55" s="1" t="s">
        <v>60</v>
      </c>
      <c r="C55" s="1">
        <v>210</v>
      </c>
      <c r="D55" s="1">
        <v>93</v>
      </c>
      <c r="E55" s="3" t="s">
        <v>6</v>
      </c>
    </row>
    <row r="56" spans="1:5" ht="15.75" x14ac:dyDescent="0.25">
      <c r="A56" s="1">
        <v>55</v>
      </c>
      <c r="B56" s="1" t="s">
        <v>12</v>
      </c>
      <c r="C56" s="1">
        <v>21</v>
      </c>
      <c r="D56" s="1">
        <v>78</v>
      </c>
      <c r="E56" s="3" t="s">
        <v>61</v>
      </c>
    </row>
    <row r="57" spans="1:5" ht="15.75" x14ac:dyDescent="0.25">
      <c r="A57" s="1">
        <v>56</v>
      </c>
      <c r="B57" s="1" t="s">
        <v>5</v>
      </c>
      <c r="C57" s="1">
        <v>37</v>
      </c>
      <c r="D57" s="1">
        <v>93</v>
      </c>
      <c r="E57" s="3" t="s">
        <v>6</v>
      </c>
    </row>
    <row r="58" spans="1:5" ht="15.75" x14ac:dyDescent="0.25">
      <c r="A58" s="1">
        <v>57</v>
      </c>
      <c r="B58" s="1" t="s">
        <v>62</v>
      </c>
      <c r="C58" s="1">
        <v>16</v>
      </c>
      <c r="D58" s="1">
        <v>89</v>
      </c>
      <c r="E58" s="3" t="s">
        <v>14</v>
      </c>
    </row>
    <row r="59" spans="1:5" ht="15.75" x14ac:dyDescent="0.25">
      <c r="A59" s="1">
        <v>58</v>
      </c>
      <c r="B59" s="1" t="s">
        <v>63</v>
      </c>
      <c r="C59" s="1">
        <v>58</v>
      </c>
      <c r="D59" s="1">
        <v>88</v>
      </c>
      <c r="E59" s="3" t="s">
        <v>14</v>
      </c>
    </row>
    <row r="60" spans="1:5" ht="15.75" x14ac:dyDescent="0.25">
      <c r="A60" s="1">
        <v>59</v>
      </c>
      <c r="B60" s="1" t="s">
        <v>64</v>
      </c>
      <c r="C60" s="1">
        <v>75</v>
      </c>
      <c r="D60" s="1">
        <v>92</v>
      </c>
      <c r="E60" s="3" t="s">
        <v>6</v>
      </c>
    </row>
    <row r="61" spans="1:5" ht="15.75" x14ac:dyDescent="0.25">
      <c r="A61" s="1">
        <v>60</v>
      </c>
      <c r="B61" s="1" t="s">
        <v>65</v>
      </c>
      <c r="C61" s="1">
        <v>39</v>
      </c>
      <c r="D61" s="1">
        <v>88</v>
      </c>
      <c r="E61" s="3" t="s">
        <v>14</v>
      </c>
    </row>
    <row r="62" spans="1:5" ht="15.75" x14ac:dyDescent="0.25">
      <c r="A62" s="1">
        <v>61</v>
      </c>
      <c r="B62" s="1" t="s">
        <v>66</v>
      </c>
      <c r="C62" s="1">
        <v>300</v>
      </c>
      <c r="D62" s="1">
        <v>96</v>
      </c>
      <c r="E62" s="3" t="s">
        <v>22</v>
      </c>
    </row>
    <row r="63" spans="1:5" ht="15.75" x14ac:dyDescent="0.25">
      <c r="A63" s="1">
        <v>62</v>
      </c>
      <c r="B63" s="1" t="s">
        <v>60</v>
      </c>
      <c r="C63" s="1">
        <v>35</v>
      </c>
      <c r="D63" s="1">
        <v>90</v>
      </c>
      <c r="E63" s="3" t="s">
        <v>6</v>
      </c>
    </row>
    <row r="64" spans="1:5" ht="15.75" x14ac:dyDescent="0.25">
      <c r="A64" s="1">
        <v>63</v>
      </c>
      <c r="B64" s="1" t="s">
        <v>59</v>
      </c>
      <c r="C64" s="1">
        <v>22</v>
      </c>
      <c r="D64" s="1">
        <v>90</v>
      </c>
      <c r="E64" s="3" t="s">
        <v>6</v>
      </c>
    </row>
    <row r="65" spans="1:5" ht="15.75" x14ac:dyDescent="0.25">
      <c r="A65" s="1">
        <v>64</v>
      </c>
      <c r="B65" s="1" t="s">
        <v>5</v>
      </c>
      <c r="C65" s="1">
        <v>90</v>
      </c>
      <c r="D65" s="1">
        <v>92</v>
      </c>
      <c r="E65" s="3" t="s">
        <v>6</v>
      </c>
    </row>
    <row r="66" spans="1:5" ht="15.75" x14ac:dyDescent="0.25">
      <c r="A66" s="1">
        <v>65</v>
      </c>
      <c r="B66" s="1" t="s">
        <v>67</v>
      </c>
      <c r="C66" s="1">
        <v>95</v>
      </c>
      <c r="D66" s="1">
        <v>93</v>
      </c>
      <c r="E66" s="3" t="s">
        <v>6</v>
      </c>
    </row>
    <row r="67" spans="1:5" ht="15.75" x14ac:dyDescent="0.25">
      <c r="A67" s="1">
        <v>66</v>
      </c>
      <c r="B67" s="1" t="s">
        <v>68</v>
      </c>
      <c r="C67" s="1">
        <v>21</v>
      </c>
      <c r="D67" s="1">
        <v>89</v>
      </c>
      <c r="E67" s="3" t="s">
        <v>14</v>
      </c>
    </row>
    <row r="68" spans="1:5" ht="15.75" x14ac:dyDescent="0.25">
      <c r="A68" s="1">
        <v>67</v>
      </c>
      <c r="B68" s="1" t="s">
        <v>69</v>
      </c>
      <c r="C68" s="1">
        <v>10</v>
      </c>
      <c r="D68" s="1">
        <v>83</v>
      </c>
      <c r="E68" s="3" t="s">
        <v>9</v>
      </c>
    </row>
    <row r="69" spans="1:5" ht="15.75" x14ac:dyDescent="0.25">
      <c r="A69" s="1">
        <v>68</v>
      </c>
      <c r="B69" s="1" t="s">
        <v>70</v>
      </c>
      <c r="C69" s="1">
        <v>25</v>
      </c>
      <c r="D69" s="1">
        <v>86</v>
      </c>
      <c r="E69" s="3" t="s">
        <v>14</v>
      </c>
    </row>
    <row r="70" spans="1:5" ht="15.75" x14ac:dyDescent="0.25">
      <c r="A70" s="1">
        <v>69</v>
      </c>
      <c r="B70" s="1" t="s">
        <v>71</v>
      </c>
      <c r="C70" s="1">
        <v>29</v>
      </c>
      <c r="D70" s="1">
        <v>90</v>
      </c>
      <c r="E70" s="3" t="s">
        <v>6</v>
      </c>
    </row>
    <row r="71" spans="1:5" ht="15.75" x14ac:dyDescent="0.25">
      <c r="A71" s="1">
        <v>70</v>
      </c>
      <c r="B71" s="1" t="s">
        <v>72</v>
      </c>
      <c r="C71" s="1">
        <v>23</v>
      </c>
      <c r="D71" s="1">
        <v>89</v>
      </c>
      <c r="E71" s="3" t="s">
        <v>14</v>
      </c>
    </row>
    <row r="72" spans="1:5" ht="15.75" x14ac:dyDescent="0.25">
      <c r="A72" s="1">
        <v>71</v>
      </c>
      <c r="B72" s="1" t="s">
        <v>73</v>
      </c>
      <c r="C72" s="1">
        <v>90</v>
      </c>
      <c r="D72" s="1">
        <v>96</v>
      </c>
      <c r="E72" s="3" t="s">
        <v>22</v>
      </c>
    </row>
    <row r="73" spans="1:5" ht="15.75" x14ac:dyDescent="0.25">
      <c r="A73" s="1">
        <v>72</v>
      </c>
      <c r="B73" s="1" t="s">
        <v>59</v>
      </c>
      <c r="C73" s="1">
        <v>18</v>
      </c>
      <c r="D73" s="1">
        <v>88</v>
      </c>
      <c r="E73" s="3" t="s">
        <v>14</v>
      </c>
    </row>
    <row r="74" spans="1:5" ht="15.75" x14ac:dyDescent="0.25">
      <c r="A74" s="1">
        <v>73</v>
      </c>
      <c r="B74" s="1" t="s">
        <v>74</v>
      </c>
      <c r="C74" s="1">
        <v>54</v>
      </c>
      <c r="D74" s="1">
        <v>89</v>
      </c>
      <c r="E74" s="3" t="s">
        <v>14</v>
      </c>
    </row>
    <row r="75" spans="1:5" ht="15.75" x14ac:dyDescent="0.25">
      <c r="A75" s="1">
        <v>74</v>
      </c>
      <c r="B75" s="1" t="s">
        <v>75</v>
      </c>
      <c r="C75" s="1">
        <v>62</v>
      </c>
      <c r="D75" s="1">
        <v>96</v>
      </c>
      <c r="E75" s="3" t="s">
        <v>22</v>
      </c>
    </row>
    <row r="76" spans="1:5" ht="15.75" x14ac:dyDescent="0.25">
      <c r="A76" s="1">
        <v>75</v>
      </c>
      <c r="B76" s="1" t="s">
        <v>76</v>
      </c>
      <c r="C76" s="1">
        <v>21</v>
      </c>
      <c r="D76" s="1">
        <v>88</v>
      </c>
      <c r="E76" s="3" t="s">
        <v>14</v>
      </c>
    </row>
    <row r="77" spans="1:5" ht="15.75" x14ac:dyDescent="0.25">
      <c r="A77" s="1">
        <v>76</v>
      </c>
      <c r="B77" s="1" t="s">
        <v>77</v>
      </c>
      <c r="C77" s="1">
        <v>37</v>
      </c>
      <c r="D77" s="1">
        <v>88</v>
      </c>
      <c r="E77" s="3" t="s">
        <v>14</v>
      </c>
    </row>
    <row r="78" spans="1:5" ht="15.75" x14ac:dyDescent="0.25">
      <c r="A78" s="1">
        <v>77</v>
      </c>
      <c r="B78" s="1" t="s">
        <v>78</v>
      </c>
      <c r="C78" s="1">
        <v>24</v>
      </c>
      <c r="D78" s="1">
        <v>86</v>
      </c>
      <c r="E78" s="3" t="s">
        <v>14</v>
      </c>
    </row>
    <row r="79" spans="1:5" ht="15.75" x14ac:dyDescent="0.25">
      <c r="A79" s="1">
        <v>78</v>
      </c>
      <c r="B79" s="1" t="s">
        <v>5</v>
      </c>
      <c r="C79" s="1">
        <v>52</v>
      </c>
      <c r="D79" s="1">
        <v>91</v>
      </c>
      <c r="E79" s="3" t="s">
        <v>6</v>
      </c>
    </row>
    <row r="80" spans="1:5" ht="15.75" x14ac:dyDescent="0.25">
      <c r="A80" s="1">
        <v>79</v>
      </c>
      <c r="B80" s="1" t="s">
        <v>79</v>
      </c>
      <c r="C80" s="1">
        <v>55</v>
      </c>
      <c r="D80" s="1">
        <v>88</v>
      </c>
      <c r="E80" s="3" t="s">
        <v>14</v>
      </c>
    </row>
    <row r="81" spans="1:5" ht="15.75" x14ac:dyDescent="0.25">
      <c r="A81" s="1">
        <v>80</v>
      </c>
      <c r="B81" s="1" t="s">
        <v>80</v>
      </c>
      <c r="C81" s="1">
        <v>440</v>
      </c>
      <c r="D81" s="1">
        <v>95</v>
      </c>
      <c r="E81" s="3" t="s">
        <v>22</v>
      </c>
    </row>
    <row r="82" spans="1:5" ht="15.75" x14ac:dyDescent="0.25">
      <c r="A82" s="1">
        <v>81</v>
      </c>
      <c r="B82" s="1" t="s">
        <v>81</v>
      </c>
      <c r="C82" s="1">
        <v>105</v>
      </c>
      <c r="D82" s="1">
        <v>90</v>
      </c>
      <c r="E82" s="3" t="s">
        <v>6</v>
      </c>
    </row>
    <row r="83" spans="1:5" ht="15.75" x14ac:dyDescent="0.25">
      <c r="A83" s="1">
        <v>82</v>
      </c>
      <c r="B83" s="1" t="s">
        <v>82</v>
      </c>
      <c r="C83" s="1">
        <v>40</v>
      </c>
      <c r="D83" s="1">
        <v>89</v>
      </c>
      <c r="E83" s="3" t="s">
        <v>14</v>
      </c>
    </row>
    <row r="84" spans="1:5" ht="15.75" x14ac:dyDescent="0.25">
      <c r="A84" s="1">
        <v>83</v>
      </c>
      <c r="B84" s="1" t="s">
        <v>83</v>
      </c>
      <c r="C84" s="1">
        <v>120</v>
      </c>
      <c r="D84" s="1">
        <v>92</v>
      </c>
      <c r="E84" s="3" t="s">
        <v>6</v>
      </c>
    </row>
    <row r="85" spans="1:5" ht="15.75" x14ac:dyDescent="0.25">
      <c r="A85" s="1">
        <v>84</v>
      </c>
      <c r="B85" s="1" t="s">
        <v>84</v>
      </c>
      <c r="C85" s="1">
        <v>26</v>
      </c>
      <c r="D85" s="1">
        <v>90</v>
      </c>
      <c r="E85" s="3" t="s">
        <v>6</v>
      </c>
    </row>
    <row r="86" spans="1:5" ht="15.75" x14ac:dyDescent="0.25">
      <c r="A86" s="1">
        <v>85</v>
      </c>
      <c r="B86" s="1" t="s">
        <v>85</v>
      </c>
      <c r="C86" s="1">
        <v>28</v>
      </c>
      <c r="D86" s="1">
        <v>88</v>
      </c>
      <c r="E86" s="3" t="s">
        <v>14</v>
      </c>
    </row>
    <row r="87" spans="1:5" ht="15.75" x14ac:dyDescent="0.25">
      <c r="A87" s="1">
        <v>86</v>
      </c>
      <c r="B87" s="1" t="s">
        <v>86</v>
      </c>
      <c r="C87" s="1">
        <v>150</v>
      </c>
      <c r="D87" s="1">
        <v>93</v>
      </c>
      <c r="E87" s="3" t="s">
        <v>6</v>
      </c>
    </row>
    <row r="88" spans="1:5" ht="15.75" x14ac:dyDescent="0.25">
      <c r="A88" s="1">
        <v>87</v>
      </c>
      <c r="B88" s="1" t="s">
        <v>5</v>
      </c>
      <c r="C88" s="1">
        <v>37</v>
      </c>
      <c r="D88" s="1">
        <v>91</v>
      </c>
      <c r="E88" s="3" t="s">
        <v>6</v>
      </c>
    </row>
    <row r="89" spans="1:5" ht="15.75" x14ac:dyDescent="0.25">
      <c r="A89" s="1">
        <v>88</v>
      </c>
      <c r="B89" s="1" t="s">
        <v>87</v>
      </c>
      <c r="C89" s="1">
        <v>43</v>
      </c>
      <c r="D89" s="1">
        <v>89</v>
      </c>
      <c r="E89" s="3" t="s">
        <v>14</v>
      </c>
    </row>
    <row r="90" spans="1:5" ht="15.75" x14ac:dyDescent="0.25">
      <c r="A90" s="1">
        <v>89</v>
      </c>
      <c r="B90" s="1" t="s">
        <v>88</v>
      </c>
      <c r="C90" s="1">
        <v>120</v>
      </c>
      <c r="D90" s="1">
        <v>91</v>
      </c>
      <c r="E90" s="3" t="s">
        <v>6</v>
      </c>
    </row>
    <row r="91" spans="1:5" ht="15.75" x14ac:dyDescent="0.25">
      <c r="A91" s="1">
        <v>90</v>
      </c>
      <c r="B91" s="1" t="s">
        <v>89</v>
      </c>
      <c r="C91" s="1">
        <v>25</v>
      </c>
      <c r="D91" s="1">
        <v>87</v>
      </c>
      <c r="E91" s="3" t="s">
        <v>14</v>
      </c>
    </row>
    <row r="92" spans="1:5" ht="15.75" x14ac:dyDescent="0.25">
      <c r="A92" s="1">
        <v>91</v>
      </c>
      <c r="B92" s="1" t="s">
        <v>90</v>
      </c>
      <c r="C92" s="1">
        <v>25</v>
      </c>
      <c r="D92" s="1">
        <v>88</v>
      </c>
      <c r="E92" s="3" t="s">
        <v>14</v>
      </c>
    </row>
    <row r="93" spans="1:5" ht="15.75" x14ac:dyDescent="0.25">
      <c r="A93" s="1">
        <v>92</v>
      </c>
      <c r="B93" s="1" t="s">
        <v>91</v>
      </c>
      <c r="C93" s="1">
        <v>40</v>
      </c>
      <c r="D93" s="1">
        <v>90</v>
      </c>
      <c r="E93" s="3" t="s">
        <v>6</v>
      </c>
    </row>
    <row r="94" spans="1:5" ht="15.75" x14ac:dyDescent="0.25">
      <c r="A94" s="1">
        <v>93</v>
      </c>
      <c r="B94" s="1" t="s">
        <v>92</v>
      </c>
      <c r="C94" s="1">
        <v>57</v>
      </c>
      <c r="D94" s="1">
        <v>90</v>
      </c>
      <c r="E94" s="3" t="s">
        <v>6</v>
      </c>
    </row>
    <row r="95" spans="1:5" ht="15.75" x14ac:dyDescent="0.25">
      <c r="A95" s="1">
        <v>94</v>
      </c>
      <c r="B95" s="1" t="s">
        <v>93</v>
      </c>
      <c r="C95" s="1">
        <v>27</v>
      </c>
      <c r="D95" s="1">
        <v>89</v>
      </c>
      <c r="E95" s="3" t="s">
        <v>14</v>
      </c>
    </row>
    <row r="96" spans="1:5" ht="15.75" x14ac:dyDescent="0.25">
      <c r="A96" s="1">
        <v>95</v>
      </c>
      <c r="B96" s="1" t="s">
        <v>94</v>
      </c>
      <c r="C96" s="1">
        <v>19</v>
      </c>
      <c r="D96" s="1">
        <v>88</v>
      </c>
      <c r="E96" s="3" t="s">
        <v>14</v>
      </c>
    </row>
    <row r="97" spans="1:5" ht="15.75" x14ac:dyDescent="0.25">
      <c r="A97" s="1">
        <v>96</v>
      </c>
      <c r="B97" s="1" t="s">
        <v>95</v>
      </c>
      <c r="C97" s="1">
        <v>15</v>
      </c>
      <c r="D97" s="1">
        <v>87</v>
      </c>
      <c r="E97" s="3" t="s">
        <v>14</v>
      </c>
    </row>
    <row r="98" spans="1:5" ht="15.75" x14ac:dyDescent="0.25">
      <c r="A98" s="1">
        <v>97</v>
      </c>
      <c r="B98" s="1" t="s">
        <v>96</v>
      </c>
      <c r="C98" s="1">
        <v>13</v>
      </c>
      <c r="D98" s="1">
        <v>88</v>
      </c>
      <c r="E98" s="3" t="s">
        <v>14</v>
      </c>
    </row>
    <row r="99" spans="1:5" ht="15.75" x14ac:dyDescent="0.25">
      <c r="A99" s="1">
        <v>98</v>
      </c>
      <c r="B99" s="1" t="s">
        <v>97</v>
      </c>
      <c r="C99" s="1">
        <v>69</v>
      </c>
      <c r="D99" s="1">
        <v>92</v>
      </c>
      <c r="E99" s="3" t="s">
        <v>6</v>
      </c>
    </row>
    <row r="100" spans="1:5" ht="15.75" x14ac:dyDescent="0.25">
      <c r="A100" s="1">
        <v>99</v>
      </c>
      <c r="B100" s="1" t="s">
        <v>94</v>
      </c>
      <c r="C100" s="1">
        <v>13</v>
      </c>
      <c r="D100" s="1">
        <v>87</v>
      </c>
      <c r="E100" s="3" t="s">
        <v>14</v>
      </c>
    </row>
    <row r="101" spans="1:5" ht="15.75" x14ac:dyDescent="0.25">
      <c r="A101" s="1">
        <v>100</v>
      </c>
      <c r="B101" s="1" t="s">
        <v>98</v>
      </c>
      <c r="C101" s="1">
        <v>50</v>
      </c>
      <c r="D101" s="1">
        <v>87</v>
      </c>
      <c r="E101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CA64-94CA-4785-9177-A554A0F54A9E}">
  <dimension ref="A1:G101"/>
  <sheetViews>
    <sheetView workbookViewId="0">
      <selection activeCell="G22" sqref="A1:XFD1048576"/>
    </sheetView>
  </sheetViews>
  <sheetFormatPr defaultRowHeight="15" x14ac:dyDescent="0.25"/>
  <cols>
    <col min="1" max="1" width="8.7109375" bestFit="1" customWidth="1"/>
    <col min="2" max="2" width="44.5703125" bestFit="1" customWidth="1"/>
    <col min="3" max="3" width="5.85546875" bestFit="1" customWidth="1"/>
    <col min="4" max="4" width="6.42578125" bestFit="1" customWidth="1"/>
    <col min="5" max="5" width="11.28515625" bestFit="1" customWidth="1"/>
    <col min="7" max="7" width="80.5703125" bestFit="1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ht="15.75" x14ac:dyDescent="0.25">
      <c r="A2" s="1">
        <v>1</v>
      </c>
      <c r="B2" s="1" t="s">
        <v>5</v>
      </c>
      <c r="C2" s="1">
        <v>52</v>
      </c>
      <c r="D2" s="1">
        <v>91</v>
      </c>
      <c r="E2" s="3" t="s">
        <v>6</v>
      </c>
    </row>
    <row r="3" spans="1:7" ht="15.75" x14ac:dyDescent="0.25">
      <c r="A3" s="1">
        <v>2</v>
      </c>
      <c r="B3" s="1" t="s">
        <v>7</v>
      </c>
      <c r="C3" s="1">
        <v>30</v>
      </c>
      <c r="D3" s="1">
        <v>90</v>
      </c>
      <c r="E3" s="3" t="s">
        <v>6</v>
      </c>
    </row>
    <row r="4" spans="1:7" ht="15.75" x14ac:dyDescent="0.25">
      <c r="A4" s="1">
        <v>3</v>
      </c>
      <c r="B4" s="1" t="s">
        <v>8</v>
      </c>
      <c r="C4" s="1">
        <v>10</v>
      </c>
      <c r="D4" s="1">
        <v>80</v>
      </c>
      <c r="E4" s="3" t="s">
        <v>9</v>
      </c>
    </row>
    <row r="5" spans="1:7" ht="15.75" x14ac:dyDescent="0.25">
      <c r="A5" s="1">
        <v>4</v>
      </c>
      <c r="B5" s="1" t="s">
        <v>10</v>
      </c>
      <c r="C5" s="1">
        <v>120</v>
      </c>
      <c r="D5" s="1">
        <v>93</v>
      </c>
      <c r="E5" s="3" t="s">
        <v>6</v>
      </c>
    </row>
    <row r="6" spans="1:7" ht="15.75" x14ac:dyDescent="0.25">
      <c r="A6" s="1">
        <v>5</v>
      </c>
      <c r="B6" s="1" t="s">
        <v>11</v>
      </c>
      <c r="C6" s="1">
        <v>75</v>
      </c>
      <c r="D6" s="1">
        <v>91</v>
      </c>
      <c r="E6" s="3" t="s">
        <v>6</v>
      </c>
    </row>
    <row r="7" spans="1:7" ht="15.75" x14ac:dyDescent="0.25">
      <c r="A7" s="1">
        <v>6</v>
      </c>
      <c r="B7" s="1" t="s">
        <v>12</v>
      </c>
      <c r="C7" s="1">
        <v>20</v>
      </c>
      <c r="D7" s="1">
        <v>83</v>
      </c>
      <c r="E7" s="3" t="s">
        <v>9</v>
      </c>
    </row>
    <row r="8" spans="1:7" ht="15.75" x14ac:dyDescent="0.25">
      <c r="A8" s="1">
        <v>7</v>
      </c>
      <c r="B8" s="1" t="s">
        <v>13</v>
      </c>
      <c r="C8" s="1">
        <v>39</v>
      </c>
      <c r="D8" s="1">
        <v>87</v>
      </c>
      <c r="E8" s="3" t="s">
        <v>14</v>
      </c>
    </row>
    <row r="9" spans="1:7" ht="15.75" x14ac:dyDescent="0.25">
      <c r="A9" s="1">
        <v>8</v>
      </c>
      <c r="B9" s="1" t="s">
        <v>15</v>
      </c>
      <c r="C9" s="1">
        <v>50</v>
      </c>
      <c r="D9" s="1">
        <v>91</v>
      </c>
      <c r="E9" s="3" t="s">
        <v>6</v>
      </c>
    </row>
    <row r="10" spans="1:7" ht="15.75" x14ac:dyDescent="0.25">
      <c r="A10" s="1">
        <v>9</v>
      </c>
      <c r="B10" s="1" t="s">
        <v>16</v>
      </c>
      <c r="C10" s="1">
        <v>18</v>
      </c>
      <c r="D10" s="1">
        <v>87</v>
      </c>
      <c r="E10" s="3" t="s">
        <v>14</v>
      </c>
    </row>
    <row r="11" spans="1:7" ht="15.75" x14ac:dyDescent="0.25">
      <c r="A11" s="1">
        <v>10</v>
      </c>
      <c r="B11" s="1" t="s">
        <v>17</v>
      </c>
      <c r="C11" s="1">
        <v>31</v>
      </c>
      <c r="D11" s="1">
        <v>88</v>
      </c>
      <c r="E11" s="3" t="s">
        <v>14</v>
      </c>
    </row>
    <row r="12" spans="1:7" ht="15.75" x14ac:dyDescent="0.25">
      <c r="A12" s="1">
        <v>11</v>
      </c>
      <c r="B12" s="1" t="s">
        <v>18</v>
      </c>
      <c r="C12" s="1">
        <v>18</v>
      </c>
      <c r="D12" s="1">
        <v>84</v>
      </c>
      <c r="E12" s="3" t="s">
        <v>9</v>
      </c>
    </row>
    <row r="13" spans="1:7" ht="15.75" x14ac:dyDescent="0.25">
      <c r="A13" s="1">
        <v>12</v>
      </c>
      <c r="B13" s="1" t="s">
        <v>19</v>
      </c>
      <c r="C13" s="1">
        <v>48</v>
      </c>
      <c r="D13" s="1">
        <v>93</v>
      </c>
      <c r="E13" s="3" t="s">
        <v>6</v>
      </c>
    </row>
    <row r="14" spans="1:7" ht="15.75" x14ac:dyDescent="0.25">
      <c r="A14" s="1">
        <v>13</v>
      </c>
      <c r="B14" s="1" t="s">
        <v>20</v>
      </c>
      <c r="C14" s="1">
        <v>55</v>
      </c>
      <c r="D14" s="1">
        <v>92</v>
      </c>
      <c r="E14" s="3" t="s">
        <v>6</v>
      </c>
    </row>
    <row r="15" spans="1:7" ht="15.75" x14ac:dyDescent="0.25">
      <c r="A15" s="1">
        <v>14</v>
      </c>
      <c r="B15" s="1" t="s">
        <v>21</v>
      </c>
      <c r="C15" s="1">
        <v>375</v>
      </c>
      <c r="D15" s="1">
        <v>98</v>
      </c>
      <c r="E15" s="3" t="s">
        <v>22</v>
      </c>
    </row>
    <row r="16" spans="1:7" ht="15.75" x14ac:dyDescent="0.25">
      <c r="A16" s="1">
        <v>15</v>
      </c>
      <c r="B16" s="1" t="s">
        <v>23</v>
      </c>
      <c r="C16" s="1">
        <v>56</v>
      </c>
      <c r="D16" s="1">
        <v>91</v>
      </c>
      <c r="E16" s="3" t="s">
        <v>6</v>
      </c>
      <c r="G16" t="s">
        <v>115</v>
      </c>
    </row>
    <row r="17" spans="1:5" ht="15.75" x14ac:dyDescent="0.25">
      <c r="A17" s="1">
        <v>16</v>
      </c>
      <c r="B17" s="1" t="s">
        <v>24</v>
      </c>
      <c r="C17" s="1">
        <v>38</v>
      </c>
      <c r="D17" s="1">
        <v>90</v>
      </c>
      <c r="E17" s="3" t="s">
        <v>6</v>
      </c>
    </row>
    <row r="18" spans="1:5" ht="15.75" x14ac:dyDescent="0.25">
      <c r="A18" s="1">
        <v>17</v>
      </c>
      <c r="B18" s="1" t="s">
        <v>25</v>
      </c>
      <c r="C18" s="1">
        <v>100</v>
      </c>
      <c r="D18" s="1">
        <v>93</v>
      </c>
      <c r="E18" s="3" t="s">
        <v>6</v>
      </c>
    </row>
    <row r="19" spans="1:5" ht="15.75" x14ac:dyDescent="0.25">
      <c r="A19" s="1">
        <v>18</v>
      </c>
      <c r="B19" s="1" t="s">
        <v>26</v>
      </c>
      <c r="C19" s="1">
        <v>42</v>
      </c>
      <c r="D19" s="1">
        <v>92</v>
      </c>
      <c r="E19" s="3" t="s">
        <v>6</v>
      </c>
    </row>
    <row r="20" spans="1:5" ht="15.75" x14ac:dyDescent="0.25">
      <c r="A20" s="1">
        <v>19</v>
      </c>
      <c r="B20" s="1" t="s">
        <v>27</v>
      </c>
      <c r="C20" s="1">
        <v>35</v>
      </c>
      <c r="D20" s="1">
        <v>89</v>
      </c>
      <c r="E20" s="3" t="s">
        <v>14</v>
      </c>
    </row>
    <row r="21" spans="1:5" ht="15.75" x14ac:dyDescent="0.25">
      <c r="A21" s="1">
        <v>20</v>
      </c>
      <c r="B21" s="1" t="s">
        <v>28</v>
      </c>
      <c r="C21" s="1">
        <v>440</v>
      </c>
      <c r="D21" s="1">
        <v>97</v>
      </c>
      <c r="E21" s="3" t="s">
        <v>22</v>
      </c>
    </row>
    <row r="22" spans="1:5" ht="15.75" x14ac:dyDescent="0.25">
      <c r="A22" s="1">
        <v>21</v>
      </c>
      <c r="B22" s="1" t="s">
        <v>29</v>
      </c>
      <c r="C22" s="1">
        <v>39</v>
      </c>
      <c r="D22" s="1">
        <v>89</v>
      </c>
      <c r="E22" s="3" t="s">
        <v>14</v>
      </c>
    </row>
    <row r="23" spans="1:5" ht="15.75" x14ac:dyDescent="0.25">
      <c r="A23" s="1">
        <v>22</v>
      </c>
      <c r="B23" s="1" t="s">
        <v>30</v>
      </c>
      <c r="C23" s="1">
        <v>35</v>
      </c>
      <c r="D23" s="1">
        <v>87</v>
      </c>
      <c r="E23" s="3" t="s">
        <v>14</v>
      </c>
    </row>
    <row r="24" spans="1:5" ht="15.75" x14ac:dyDescent="0.25">
      <c r="A24" s="1">
        <v>23</v>
      </c>
      <c r="B24" s="1" t="s">
        <v>31</v>
      </c>
      <c r="C24" s="1">
        <v>38</v>
      </c>
      <c r="D24" s="1">
        <v>86</v>
      </c>
      <c r="E24" s="3" t="s">
        <v>14</v>
      </c>
    </row>
    <row r="25" spans="1:5" ht="15.75" x14ac:dyDescent="0.25">
      <c r="A25" s="1">
        <v>24</v>
      </c>
      <c r="B25" s="1" t="s">
        <v>32</v>
      </c>
      <c r="C25" s="1">
        <v>53</v>
      </c>
      <c r="D25" s="1">
        <v>88</v>
      </c>
      <c r="E25" s="3" t="s">
        <v>14</v>
      </c>
    </row>
    <row r="26" spans="1:5" ht="15.75" x14ac:dyDescent="0.25">
      <c r="A26" s="1">
        <v>25</v>
      </c>
      <c r="B26" s="1" t="s">
        <v>33</v>
      </c>
      <c r="C26" s="1">
        <v>20</v>
      </c>
      <c r="D26" s="1">
        <v>88</v>
      </c>
      <c r="E26" s="3" t="s">
        <v>14</v>
      </c>
    </row>
    <row r="27" spans="1:5" ht="15.75" x14ac:dyDescent="0.25">
      <c r="A27" s="1">
        <v>26</v>
      </c>
      <c r="B27" s="1" t="s">
        <v>34</v>
      </c>
      <c r="C27" s="1">
        <v>25</v>
      </c>
      <c r="D27" s="1">
        <v>89</v>
      </c>
      <c r="E27" s="3" t="s">
        <v>14</v>
      </c>
    </row>
    <row r="28" spans="1:5" ht="15.75" x14ac:dyDescent="0.25">
      <c r="A28" s="1">
        <v>27</v>
      </c>
      <c r="B28" s="1" t="s">
        <v>35</v>
      </c>
      <c r="C28" s="1">
        <v>20</v>
      </c>
      <c r="D28" s="1">
        <v>84</v>
      </c>
      <c r="E28" s="3" t="s">
        <v>9</v>
      </c>
    </row>
    <row r="29" spans="1:5" ht="15.75" x14ac:dyDescent="0.25">
      <c r="A29" s="1">
        <v>28</v>
      </c>
      <c r="B29" s="1" t="s">
        <v>36</v>
      </c>
      <c r="C29" s="1">
        <v>29</v>
      </c>
      <c r="D29" s="1">
        <v>82</v>
      </c>
      <c r="E29" s="3" t="s">
        <v>9</v>
      </c>
    </row>
    <row r="30" spans="1:5" ht="15.75" x14ac:dyDescent="0.25">
      <c r="A30" s="1">
        <v>29</v>
      </c>
      <c r="B30" s="1" t="s">
        <v>37</v>
      </c>
      <c r="C30" s="1">
        <v>90</v>
      </c>
      <c r="D30" s="1">
        <v>91</v>
      </c>
      <c r="E30" s="3" t="s">
        <v>6</v>
      </c>
    </row>
    <row r="31" spans="1:5" ht="15.75" x14ac:dyDescent="0.25">
      <c r="A31" s="1">
        <v>30</v>
      </c>
      <c r="B31" s="1" t="s">
        <v>38</v>
      </c>
      <c r="C31" s="1">
        <v>125</v>
      </c>
      <c r="D31" s="1">
        <v>91</v>
      </c>
      <c r="E31" s="3" t="s">
        <v>6</v>
      </c>
    </row>
    <row r="32" spans="1:5" ht="15.75" x14ac:dyDescent="0.25">
      <c r="A32" s="1">
        <v>31</v>
      </c>
      <c r="B32" s="1" t="s">
        <v>39</v>
      </c>
      <c r="C32" s="1">
        <v>55</v>
      </c>
      <c r="D32" s="1">
        <v>90</v>
      </c>
      <c r="E32" s="3" t="s">
        <v>6</v>
      </c>
    </row>
    <row r="33" spans="1:5" ht="15.75" x14ac:dyDescent="0.25">
      <c r="A33" s="1">
        <v>32</v>
      </c>
      <c r="B33" s="1" t="s">
        <v>40</v>
      </c>
      <c r="C33" s="1">
        <v>25</v>
      </c>
      <c r="D33" s="1">
        <v>92</v>
      </c>
      <c r="E33" s="3" t="s">
        <v>6</v>
      </c>
    </row>
    <row r="34" spans="1:5" ht="15.75" x14ac:dyDescent="0.25">
      <c r="A34" s="1">
        <v>33</v>
      </c>
      <c r="B34" s="1" t="s">
        <v>41</v>
      </c>
      <c r="C34" s="1">
        <v>25</v>
      </c>
      <c r="D34" s="1">
        <v>93</v>
      </c>
      <c r="E34" s="3" t="s">
        <v>6</v>
      </c>
    </row>
    <row r="35" spans="1:5" ht="15.75" x14ac:dyDescent="0.25">
      <c r="A35" s="1">
        <v>34</v>
      </c>
      <c r="B35" s="1" t="s">
        <v>42</v>
      </c>
      <c r="C35" s="1">
        <v>32</v>
      </c>
      <c r="D35" s="1">
        <v>89</v>
      </c>
      <c r="E35" s="3" t="s">
        <v>14</v>
      </c>
    </row>
    <row r="36" spans="1:5" ht="15.75" x14ac:dyDescent="0.25">
      <c r="A36" s="1">
        <v>35</v>
      </c>
      <c r="B36" s="1" t="s">
        <v>43</v>
      </c>
      <c r="C36" s="1">
        <v>10</v>
      </c>
      <c r="D36" s="1">
        <v>84</v>
      </c>
      <c r="E36" s="3" t="s">
        <v>9</v>
      </c>
    </row>
    <row r="37" spans="1:5" ht="15.75" x14ac:dyDescent="0.25">
      <c r="A37" s="1">
        <v>36</v>
      </c>
      <c r="B37" s="1" t="s">
        <v>44</v>
      </c>
      <c r="C37" s="1">
        <v>180</v>
      </c>
      <c r="D37" s="1">
        <v>97</v>
      </c>
      <c r="E37" s="3" t="s">
        <v>22</v>
      </c>
    </row>
    <row r="38" spans="1:5" ht="15.75" x14ac:dyDescent="0.25">
      <c r="A38" s="1">
        <v>37</v>
      </c>
      <c r="B38" s="1" t="s">
        <v>45</v>
      </c>
      <c r="C38" s="1">
        <v>27</v>
      </c>
      <c r="D38" s="1">
        <v>90</v>
      </c>
      <c r="E38" s="3" t="s">
        <v>6</v>
      </c>
    </row>
    <row r="39" spans="1:5" ht="15.75" x14ac:dyDescent="0.25">
      <c r="A39" s="1">
        <v>38</v>
      </c>
      <c r="B39" s="1" t="s">
        <v>46</v>
      </c>
      <c r="C39" s="1">
        <v>147</v>
      </c>
      <c r="D39" s="1">
        <v>92</v>
      </c>
      <c r="E39" s="3" t="s">
        <v>6</v>
      </c>
    </row>
    <row r="40" spans="1:5" ht="15.75" x14ac:dyDescent="0.25">
      <c r="A40" s="1">
        <v>39</v>
      </c>
      <c r="B40" s="1" t="s">
        <v>47</v>
      </c>
      <c r="C40" s="1">
        <v>38</v>
      </c>
      <c r="D40" s="1">
        <v>89</v>
      </c>
      <c r="E40" s="3" t="s">
        <v>14</v>
      </c>
    </row>
    <row r="41" spans="1:5" ht="15.75" x14ac:dyDescent="0.25">
      <c r="A41" s="1">
        <v>40</v>
      </c>
      <c r="B41" s="1" t="s">
        <v>48</v>
      </c>
      <c r="C41" s="1">
        <v>57</v>
      </c>
      <c r="D41" s="1">
        <v>89</v>
      </c>
      <c r="E41" s="3" t="s">
        <v>14</v>
      </c>
    </row>
    <row r="42" spans="1:5" ht="15.75" x14ac:dyDescent="0.25">
      <c r="A42" s="1">
        <v>41</v>
      </c>
      <c r="B42" s="1" t="s">
        <v>49</v>
      </c>
      <c r="C42" s="1">
        <v>22</v>
      </c>
      <c r="D42" s="1">
        <v>89</v>
      </c>
      <c r="E42" s="3" t="s">
        <v>14</v>
      </c>
    </row>
    <row r="43" spans="1:5" ht="15.75" x14ac:dyDescent="0.25">
      <c r="A43" s="1">
        <v>42</v>
      </c>
      <c r="B43" s="1" t="s">
        <v>50</v>
      </c>
      <c r="C43" s="1">
        <v>19</v>
      </c>
      <c r="D43" s="1">
        <v>87</v>
      </c>
      <c r="E43" s="3" t="s">
        <v>14</v>
      </c>
    </row>
    <row r="44" spans="1:5" ht="15.75" x14ac:dyDescent="0.25">
      <c r="A44" s="1">
        <v>43</v>
      </c>
      <c r="B44" s="1" t="s">
        <v>51</v>
      </c>
      <c r="C44" s="1">
        <v>72</v>
      </c>
      <c r="D44" s="1">
        <v>94</v>
      </c>
      <c r="E44" s="3" t="s">
        <v>6</v>
      </c>
    </row>
    <row r="45" spans="1:5" ht="15.75" x14ac:dyDescent="0.25">
      <c r="A45" s="1">
        <v>44</v>
      </c>
      <c r="B45" s="1" t="s">
        <v>52</v>
      </c>
      <c r="C45" s="1">
        <v>150</v>
      </c>
      <c r="D45" s="1">
        <v>94</v>
      </c>
      <c r="E45" s="3" t="s">
        <v>6</v>
      </c>
    </row>
    <row r="46" spans="1:5" ht="15.75" x14ac:dyDescent="0.25">
      <c r="A46" s="1">
        <v>45</v>
      </c>
      <c r="B46" s="1" t="s">
        <v>53</v>
      </c>
      <c r="C46" s="1">
        <v>60</v>
      </c>
      <c r="D46" s="1">
        <v>93</v>
      </c>
      <c r="E46" s="3" t="s">
        <v>6</v>
      </c>
    </row>
    <row r="47" spans="1:5" ht="15.75" x14ac:dyDescent="0.25">
      <c r="A47" s="1">
        <v>46</v>
      </c>
      <c r="B47" s="1" t="s">
        <v>54</v>
      </c>
      <c r="C47" s="1">
        <v>17</v>
      </c>
      <c r="D47" s="1">
        <v>88</v>
      </c>
      <c r="E47" s="3" t="s">
        <v>14</v>
      </c>
    </row>
    <row r="48" spans="1:5" ht="15.75" x14ac:dyDescent="0.25">
      <c r="A48" s="1">
        <v>47</v>
      </c>
      <c r="B48" s="1" t="s">
        <v>5</v>
      </c>
      <c r="C48" s="1">
        <v>55</v>
      </c>
      <c r="D48" s="1">
        <v>88</v>
      </c>
      <c r="E48" s="3" t="s">
        <v>14</v>
      </c>
    </row>
    <row r="49" spans="1:5" ht="15.75" x14ac:dyDescent="0.25">
      <c r="A49" s="1">
        <v>48</v>
      </c>
      <c r="B49" s="1" t="s">
        <v>55</v>
      </c>
      <c r="C49" s="1">
        <v>18</v>
      </c>
      <c r="D49" s="1">
        <v>86</v>
      </c>
      <c r="E49" s="3" t="s">
        <v>14</v>
      </c>
    </row>
    <row r="50" spans="1:5" ht="15.75" x14ac:dyDescent="0.25">
      <c r="A50" s="1">
        <v>49</v>
      </c>
      <c r="B50" s="1" t="s">
        <v>55</v>
      </c>
      <c r="C50" s="1">
        <v>19</v>
      </c>
      <c r="D50" s="1">
        <v>88</v>
      </c>
      <c r="E50" s="3" t="s">
        <v>14</v>
      </c>
    </row>
    <row r="51" spans="1:5" ht="15.75" x14ac:dyDescent="0.25">
      <c r="A51" s="1">
        <v>50</v>
      </c>
      <c r="B51" s="1" t="s">
        <v>56</v>
      </c>
      <c r="C51" s="1">
        <v>109</v>
      </c>
      <c r="D51" s="1">
        <v>91</v>
      </c>
      <c r="E51" s="3" t="s">
        <v>6</v>
      </c>
    </row>
    <row r="52" spans="1:5" ht="15.75" x14ac:dyDescent="0.25">
      <c r="A52" s="1">
        <v>51</v>
      </c>
      <c r="B52" s="1" t="s">
        <v>57</v>
      </c>
      <c r="C52" s="1">
        <v>12</v>
      </c>
      <c r="D52" s="1">
        <v>87</v>
      </c>
      <c r="E52" s="3" t="s">
        <v>14</v>
      </c>
    </row>
    <row r="53" spans="1:5" ht="15.75" x14ac:dyDescent="0.25">
      <c r="A53" s="1">
        <v>52</v>
      </c>
      <c r="B53" s="1" t="s">
        <v>58</v>
      </c>
      <c r="C53" s="1">
        <v>35</v>
      </c>
      <c r="D53" s="1">
        <v>89</v>
      </c>
      <c r="E53" s="3" t="s">
        <v>14</v>
      </c>
    </row>
    <row r="54" spans="1:5" ht="15.75" x14ac:dyDescent="0.25">
      <c r="A54" s="1">
        <v>53</v>
      </c>
      <c r="B54" s="1" t="s">
        <v>59</v>
      </c>
      <c r="C54" s="1">
        <v>20</v>
      </c>
      <c r="D54" s="1">
        <v>89</v>
      </c>
      <c r="E54" s="3" t="s">
        <v>14</v>
      </c>
    </row>
    <row r="55" spans="1:5" ht="15.75" x14ac:dyDescent="0.25">
      <c r="A55" s="1">
        <v>54</v>
      </c>
      <c r="B55" s="1" t="s">
        <v>60</v>
      </c>
      <c r="C55" s="1">
        <v>210</v>
      </c>
      <c r="D55" s="1">
        <v>93</v>
      </c>
      <c r="E55" s="3" t="s">
        <v>6</v>
      </c>
    </row>
    <row r="56" spans="1:5" ht="15.75" x14ac:dyDescent="0.25">
      <c r="A56" s="1">
        <v>55</v>
      </c>
      <c r="B56" s="1" t="s">
        <v>12</v>
      </c>
      <c r="C56" s="1">
        <v>21</v>
      </c>
      <c r="D56" s="1">
        <v>78</v>
      </c>
      <c r="E56" s="3" t="s">
        <v>61</v>
      </c>
    </row>
    <row r="57" spans="1:5" ht="15.75" x14ac:dyDescent="0.25">
      <c r="A57" s="1">
        <v>56</v>
      </c>
      <c r="B57" s="1" t="s">
        <v>5</v>
      </c>
      <c r="C57" s="1">
        <v>37</v>
      </c>
      <c r="D57" s="1">
        <v>93</v>
      </c>
      <c r="E57" s="3" t="s">
        <v>6</v>
      </c>
    </row>
    <row r="58" spans="1:5" ht="15.75" x14ac:dyDescent="0.25">
      <c r="A58" s="1">
        <v>57</v>
      </c>
      <c r="B58" s="1" t="s">
        <v>62</v>
      </c>
      <c r="C58" s="1">
        <v>16</v>
      </c>
      <c r="D58" s="1">
        <v>89</v>
      </c>
      <c r="E58" s="3" t="s">
        <v>14</v>
      </c>
    </row>
    <row r="59" spans="1:5" ht="15.75" x14ac:dyDescent="0.25">
      <c r="A59" s="1">
        <v>58</v>
      </c>
      <c r="B59" s="1" t="s">
        <v>63</v>
      </c>
      <c r="C59" s="1">
        <v>58</v>
      </c>
      <c r="D59" s="1">
        <v>88</v>
      </c>
      <c r="E59" s="3" t="s">
        <v>14</v>
      </c>
    </row>
    <row r="60" spans="1:5" ht="15.75" x14ac:dyDescent="0.25">
      <c r="A60" s="1">
        <v>59</v>
      </c>
      <c r="B60" s="1" t="s">
        <v>64</v>
      </c>
      <c r="C60" s="1">
        <v>75</v>
      </c>
      <c r="D60" s="1">
        <v>92</v>
      </c>
      <c r="E60" s="3" t="s">
        <v>6</v>
      </c>
    </row>
    <row r="61" spans="1:5" ht="15.75" x14ac:dyDescent="0.25">
      <c r="A61" s="1">
        <v>60</v>
      </c>
      <c r="B61" s="1" t="s">
        <v>65</v>
      </c>
      <c r="C61" s="1">
        <v>39</v>
      </c>
      <c r="D61" s="1">
        <v>88</v>
      </c>
      <c r="E61" s="3" t="s">
        <v>14</v>
      </c>
    </row>
    <row r="62" spans="1:5" ht="15.75" x14ac:dyDescent="0.25">
      <c r="A62" s="1">
        <v>61</v>
      </c>
      <c r="B62" s="1" t="s">
        <v>66</v>
      </c>
      <c r="C62" s="1">
        <v>300</v>
      </c>
      <c r="D62" s="1">
        <v>96</v>
      </c>
      <c r="E62" s="3" t="s">
        <v>22</v>
      </c>
    </row>
    <row r="63" spans="1:5" ht="15.75" x14ac:dyDescent="0.25">
      <c r="A63" s="1">
        <v>62</v>
      </c>
      <c r="B63" s="1" t="s">
        <v>60</v>
      </c>
      <c r="C63" s="1">
        <v>35</v>
      </c>
      <c r="D63" s="1">
        <v>90</v>
      </c>
      <c r="E63" s="3" t="s">
        <v>6</v>
      </c>
    </row>
    <row r="64" spans="1:5" ht="15.75" x14ac:dyDescent="0.25">
      <c r="A64" s="1">
        <v>63</v>
      </c>
      <c r="B64" s="1" t="s">
        <v>59</v>
      </c>
      <c r="C64" s="1">
        <v>22</v>
      </c>
      <c r="D64" s="1">
        <v>90</v>
      </c>
      <c r="E64" s="3" t="s">
        <v>6</v>
      </c>
    </row>
    <row r="65" spans="1:5" ht="15.75" x14ac:dyDescent="0.25">
      <c r="A65" s="1">
        <v>64</v>
      </c>
      <c r="B65" s="1" t="s">
        <v>5</v>
      </c>
      <c r="C65" s="1">
        <v>90</v>
      </c>
      <c r="D65" s="1">
        <v>92</v>
      </c>
      <c r="E65" s="3" t="s">
        <v>6</v>
      </c>
    </row>
    <row r="66" spans="1:5" ht="15.75" x14ac:dyDescent="0.25">
      <c r="A66" s="1">
        <v>65</v>
      </c>
      <c r="B66" s="1" t="s">
        <v>67</v>
      </c>
      <c r="C66" s="1">
        <v>95</v>
      </c>
      <c r="D66" s="1">
        <v>93</v>
      </c>
      <c r="E66" s="3" t="s">
        <v>6</v>
      </c>
    </row>
    <row r="67" spans="1:5" ht="15.75" x14ac:dyDescent="0.25">
      <c r="A67" s="1">
        <v>66</v>
      </c>
      <c r="B67" s="1" t="s">
        <v>68</v>
      </c>
      <c r="C67" s="1">
        <v>21</v>
      </c>
      <c r="D67" s="1">
        <v>89</v>
      </c>
      <c r="E67" s="3" t="s">
        <v>14</v>
      </c>
    </row>
    <row r="68" spans="1:5" ht="15.75" x14ac:dyDescent="0.25">
      <c r="A68" s="1">
        <v>67</v>
      </c>
      <c r="B68" s="1" t="s">
        <v>69</v>
      </c>
      <c r="C68" s="1">
        <v>10</v>
      </c>
      <c r="D68" s="1">
        <v>83</v>
      </c>
      <c r="E68" s="3" t="s">
        <v>9</v>
      </c>
    </row>
    <row r="69" spans="1:5" ht="15.75" x14ac:dyDescent="0.25">
      <c r="A69" s="1">
        <v>68</v>
      </c>
      <c r="B69" s="1" t="s">
        <v>70</v>
      </c>
      <c r="C69" s="1">
        <v>25</v>
      </c>
      <c r="D69" s="1">
        <v>86</v>
      </c>
      <c r="E69" s="3" t="s">
        <v>14</v>
      </c>
    </row>
    <row r="70" spans="1:5" ht="15.75" x14ac:dyDescent="0.25">
      <c r="A70" s="1">
        <v>69</v>
      </c>
      <c r="B70" s="1" t="s">
        <v>71</v>
      </c>
      <c r="C70" s="1">
        <v>29</v>
      </c>
      <c r="D70" s="1">
        <v>90</v>
      </c>
      <c r="E70" s="3" t="s">
        <v>6</v>
      </c>
    </row>
    <row r="71" spans="1:5" ht="15.75" x14ac:dyDescent="0.25">
      <c r="A71" s="1">
        <v>70</v>
      </c>
      <c r="B71" s="1" t="s">
        <v>72</v>
      </c>
      <c r="C71" s="1">
        <v>23</v>
      </c>
      <c r="D71" s="1">
        <v>89</v>
      </c>
      <c r="E71" s="3" t="s">
        <v>14</v>
      </c>
    </row>
    <row r="72" spans="1:5" ht="15.75" x14ac:dyDescent="0.25">
      <c r="A72" s="1">
        <v>71</v>
      </c>
      <c r="B72" s="1" t="s">
        <v>73</v>
      </c>
      <c r="C72" s="1">
        <v>90</v>
      </c>
      <c r="D72" s="1">
        <v>96</v>
      </c>
      <c r="E72" s="3" t="s">
        <v>22</v>
      </c>
    </row>
    <row r="73" spans="1:5" ht="15.75" x14ac:dyDescent="0.25">
      <c r="A73" s="1">
        <v>72</v>
      </c>
      <c r="B73" s="1" t="s">
        <v>59</v>
      </c>
      <c r="C73" s="1">
        <v>18</v>
      </c>
      <c r="D73" s="1">
        <v>88</v>
      </c>
      <c r="E73" s="3" t="s">
        <v>14</v>
      </c>
    </row>
    <row r="74" spans="1:5" ht="15.75" x14ac:dyDescent="0.25">
      <c r="A74" s="1">
        <v>73</v>
      </c>
      <c r="B74" s="1" t="s">
        <v>74</v>
      </c>
      <c r="C74" s="1">
        <v>54</v>
      </c>
      <c r="D74" s="1">
        <v>89</v>
      </c>
      <c r="E74" s="3" t="s">
        <v>14</v>
      </c>
    </row>
    <row r="75" spans="1:5" ht="15.75" x14ac:dyDescent="0.25">
      <c r="A75" s="1">
        <v>74</v>
      </c>
      <c r="B75" s="1" t="s">
        <v>75</v>
      </c>
      <c r="C75" s="1">
        <v>62</v>
      </c>
      <c r="D75" s="1">
        <v>96</v>
      </c>
      <c r="E75" s="3" t="s">
        <v>22</v>
      </c>
    </row>
    <row r="76" spans="1:5" ht="15.75" x14ac:dyDescent="0.25">
      <c r="A76" s="1">
        <v>75</v>
      </c>
      <c r="B76" s="1" t="s">
        <v>76</v>
      </c>
      <c r="C76" s="1">
        <v>21</v>
      </c>
      <c r="D76" s="1">
        <v>88</v>
      </c>
      <c r="E76" s="3" t="s">
        <v>14</v>
      </c>
    </row>
    <row r="77" spans="1:5" ht="15.75" x14ac:dyDescent="0.25">
      <c r="A77" s="1">
        <v>76</v>
      </c>
      <c r="B77" s="1" t="s">
        <v>77</v>
      </c>
      <c r="C77" s="1">
        <v>37</v>
      </c>
      <c r="D77" s="1">
        <v>88</v>
      </c>
      <c r="E77" s="3" t="s">
        <v>14</v>
      </c>
    </row>
    <row r="78" spans="1:5" ht="15.75" x14ac:dyDescent="0.25">
      <c r="A78" s="1">
        <v>77</v>
      </c>
      <c r="B78" s="1" t="s">
        <v>78</v>
      </c>
      <c r="C78" s="1">
        <v>24</v>
      </c>
      <c r="D78" s="1">
        <v>86</v>
      </c>
      <c r="E78" s="3" t="s">
        <v>14</v>
      </c>
    </row>
    <row r="79" spans="1:5" ht="15.75" x14ac:dyDescent="0.25">
      <c r="A79" s="1">
        <v>78</v>
      </c>
      <c r="B79" s="1" t="s">
        <v>5</v>
      </c>
      <c r="C79" s="1">
        <v>52</v>
      </c>
      <c r="D79" s="1">
        <v>91</v>
      </c>
      <c r="E79" s="3" t="s">
        <v>6</v>
      </c>
    </row>
    <row r="80" spans="1:5" ht="15.75" x14ac:dyDescent="0.25">
      <c r="A80" s="1">
        <v>79</v>
      </c>
      <c r="B80" s="1" t="s">
        <v>79</v>
      </c>
      <c r="C80" s="1">
        <v>55</v>
      </c>
      <c r="D80" s="1">
        <v>88</v>
      </c>
      <c r="E80" s="3" t="s">
        <v>14</v>
      </c>
    </row>
    <row r="81" spans="1:5" ht="15.75" x14ac:dyDescent="0.25">
      <c r="A81" s="1">
        <v>80</v>
      </c>
      <c r="B81" s="1" t="s">
        <v>80</v>
      </c>
      <c r="C81" s="1">
        <v>440</v>
      </c>
      <c r="D81" s="1">
        <v>95</v>
      </c>
      <c r="E81" s="3" t="s">
        <v>22</v>
      </c>
    </row>
    <row r="82" spans="1:5" ht="15.75" x14ac:dyDescent="0.25">
      <c r="A82" s="1">
        <v>81</v>
      </c>
      <c r="B82" s="1" t="s">
        <v>81</v>
      </c>
      <c r="C82" s="1">
        <v>105</v>
      </c>
      <c r="D82" s="1">
        <v>90</v>
      </c>
      <c r="E82" s="3" t="s">
        <v>6</v>
      </c>
    </row>
    <row r="83" spans="1:5" ht="15.75" x14ac:dyDescent="0.25">
      <c r="A83" s="1">
        <v>82</v>
      </c>
      <c r="B83" s="1" t="s">
        <v>82</v>
      </c>
      <c r="C83" s="1">
        <v>40</v>
      </c>
      <c r="D83" s="1">
        <v>89</v>
      </c>
      <c r="E83" s="3" t="s">
        <v>14</v>
      </c>
    </row>
    <row r="84" spans="1:5" ht="15.75" x14ac:dyDescent="0.25">
      <c r="A84" s="1">
        <v>83</v>
      </c>
      <c r="B84" s="1" t="s">
        <v>83</v>
      </c>
      <c r="C84" s="1">
        <v>120</v>
      </c>
      <c r="D84" s="1">
        <v>92</v>
      </c>
      <c r="E84" s="3" t="s">
        <v>6</v>
      </c>
    </row>
    <row r="85" spans="1:5" ht="15.75" x14ac:dyDescent="0.25">
      <c r="A85" s="1">
        <v>84</v>
      </c>
      <c r="B85" s="1" t="s">
        <v>84</v>
      </c>
      <c r="C85" s="1">
        <v>26</v>
      </c>
      <c r="D85" s="1">
        <v>90</v>
      </c>
      <c r="E85" s="3" t="s">
        <v>6</v>
      </c>
    </row>
    <row r="86" spans="1:5" ht="15.75" x14ac:dyDescent="0.25">
      <c r="A86" s="1">
        <v>85</v>
      </c>
      <c r="B86" s="1" t="s">
        <v>85</v>
      </c>
      <c r="C86" s="1">
        <v>28</v>
      </c>
      <c r="D86" s="1">
        <v>88</v>
      </c>
      <c r="E86" s="3" t="s">
        <v>14</v>
      </c>
    </row>
    <row r="87" spans="1:5" ht="15.75" x14ac:dyDescent="0.25">
      <c r="A87" s="1">
        <v>86</v>
      </c>
      <c r="B87" s="1" t="s">
        <v>86</v>
      </c>
      <c r="C87" s="1">
        <v>150</v>
      </c>
      <c r="D87" s="1">
        <v>93</v>
      </c>
      <c r="E87" s="3" t="s">
        <v>6</v>
      </c>
    </row>
    <row r="88" spans="1:5" ht="15.75" x14ac:dyDescent="0.25">
      <c r="A88" s="1">
        <v>87</v>
      </c>
      <c r="B88" s="1" t="s">
        <v>5</v>
      </c>
      <c r="C88" s="1">
        <v>37</v>
      </c>
      <c r="D88" s="1">
        <v>91</v>
      </c>
      <c r="E88" s="3" t="s">
        <v>6</v>
      </c>
    </row>
    <row r="89" spans="1:5" ht="15.75" x14ac:dyDescent="0.25">
      <c r="A89" s="1">
        <v>88</v>
      </c>
      <c r="B89" s="1" t="s">
        <v>87</v>
      </c>
      <c r="C89" s="1">
        <v>43</v>
      </c>
      <c r="D89" s="1">
        <v>89</v>
      </c>
      <c r="E89" s="3" t="s">
        <v>14</v>
      </c>
    </row>
    <row r="90" spans="1:5" ht="15.75" x14ac:dyDescent="0.25">
      <c r="A90" s="1">
        <v>89</v>
      </c>
      <c r="B90" s="1" t="s">
        <v>88</v>
      </c>
      <c r="C90" s="1">
        <v>120</v>
      </c>
      <c r="D90" s="1">
        <v>91</v>
      </c>
      <c r="E90" s="3" t="s">
        <v>6</v>
      </c>
    </row>
    <row r="91" spans="1:5" ht="15.75" x14ac:dyDescent="0.25">
      <c r="A91" s="1">
        <v>90</v>
      </c>
      <c r="B91" s="1" t="s">
        <v>89</v>
      </c>
      <c r="C91" s="1">
        <v>25</v>
      </c>
      <c r="D91" s="1">
        <v>87</v>
      </c>
      <c r="E91" s="3" t="s">
        <v>14</v>
      </c>
    </row>
    <row r="92" spans="1:5" ht="15.75" x14ac:dyDescent="0.25">
      <c r="A92" s="1">
        <v>91</v>
      </c>
      <c r="B92" s="1" t="s">
        <v>90</v>
      </c>
      <c r="C92" s="1">
        <v>25</v>
      </c>
      <c r="D92" s="1">
        <v>88</v>
      </c>
      <c r="E92" s="3" t="s">
        <v>14</v>
      </c>
    </row>
    <row r="93" spans="1:5" ht="15.75" x14ac:dyDescent="0.25">
      <c r="A93" s="1">
        <v>92</v>
      </c>
      <c r="B93" s="1" t="s">
        <v>91</v>
      </c>
      <c r="C93" s="1">
        <v>40</v>
      </c>
      <c r="D93" s="1">
        <v>90</v>
      </c>
      <c r="E93" s="3" t="s">
        <v>6</v>
      </c>
    </row>
    <row r="94" spans="1:5" ht="15.75" x14ac:dyDescent="0.25">
      <c r="A94" s="1">
        <v>93</v>
      </c>
      <c r="B94" s="1" t="s">
        <v>92</v>
      </c>
      <c r="C94" s="1">
        <v>57</v>
      </c>
      <c r="D94" s="1">
        <v>90</v>
      </c>
      <c r="E94" s="3" t="s">
        <v>6</v>
      </c>
    </row>
    <row r="95" spans="1:5" ht="15.75" x14ac:dyDescent="0.25">
      <c r="A95" s="1">
        <v>94</v>
      </c>
      <c r="B95" s="1" t="s">
        <v>93</v>
      </c>
      <c r="C95" s="1">
        <v>27</v>
      </c>
      <c r="D95" s="1">
        <v>89</v>
      </c>
      <c r="E95" s="3" t="s">
        <v>14</v>
      </c>
    </row>
    <row r="96" spans="1:5" ht="15.75" x14ac:dyDescent="0.25">
      <c r="A96" s="1">
        <v>95</v>
      </c>
      <c r="B96" s="1" t="s">
        <v>94</v>
      </c>
      <c r="C96" s="1">
        <v>19</v>
      </c>
      <c r="D96" s="1">
        <v>88</v>
      </c>
      <c r="E96" s="3" t="s">
        <v>14</v>
      </c>
    </row>
    <row r="97" spans="1:5" ht="15.75" x14ac:dyDescent="0.25">
      <c r="A97" s="1">
        <v>96</v>
      </c>
      <c r="B97" s="1" t="s">
        <v>95</v>
      </c>
      <c r="C97" s="1">
        <v>15</v>
      </c>
      <c r="D97" s="1">
        <v>87</v>
      </c>
      <c r="E97" s="3" t="s">
        <v>14</v>
      </c>
    </row>
    <row r="98" spans="1:5" ht="15.75" x14ac:dyDescent="0.25">
      <c r="A98" s="1">
        <v>97</v>
      </c>
      <c r="B98" s="1" t="s">
        <v>96</v>
      </c>
      <c r="C98" s="1">
        <v>13</v>
      </c>
      <c r="D98" s="1">
        <v>88</v>
      </c>
      <c r="E98" s="3" t="s">
        <v>14</v>
      </c>
    </row>
    <row r="99" spans="1:5" ht="15.75" x14ac:dyDescent="0.25">
      <c r="A99" s="1">
        <v>98</v>
      </c>
      <c r="B99" s="1" t="s">
        <v>97</v>
      </c>
      <c r="C99" s="1">
        <v>69</v>
      </c>
      <c r="D99" s="1">
        <v>92</v>
      </c>
      <c r="E99" s="3" t="s">
        <v>6</v>
      </c>
    </row>
    <row r="100" spans="1:5" ht="15.75" x14ac:dyDescent="0.25">
      <c r="A100" s="1">
        <v>99</v>
      </c>
      <c r="B100" s="1" t="s">
        <v>94</v>
      </c>
      <c r="C100" s="1">
        <v>13</v>
      </c>
      <c r="D100" s="1">
        <v>87</v>
      </c>
      <c r="E100" s="3" t="s">
        <v>14</v>
      </c>
    </row>
    <row r="101" spans="1:5" ht="15.75" x14ac:dyDescent="0.25">
      <c r="A101" s="1">
        <v>100</v>
      </c>
      <c r="B101" s="1" t="s">
        <v>98</v>
      </c>
      <c r="C101" s="1">
        <v>50</v>
      </c>
      <c r="D101" s="1">
        <v>87</v>
      </c>
      <c r="E101" s="3" t="s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5F5D-3965-4370-96E8-0F8C6E534A14}">
  <dimension ref="A1:G101"/>
  <sheetViews>
    <sheetView workbookViewId="0">
      <selection activeCell="G29" sqref="A1:XFD1048576"/>
    </sheetView>
  </sheetViews>
  <sheetFormatPr defaultRowHeight="15" x14ac:dyDescent="0.25"/>
  <cols>
    <col min="1" max="1" width="8.7109375" bestFit="1" customWidth="1"/>
    <col min="2" max="2" width="44.5703125" bestFit="1" customWidth="1"/>
    <col min="3" max="3" width="5.85546875" bestFit="1" customWidth="1"/>
    <col min="4" max="4" width="6.42578125" bestFit="1" customWidth="1"/>
    <col min="5" max="5" width="11.28515625" bestFit="1" customWidth="1"/>
    <col min="7" max="7" width="80.5703125" bestFit="1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ht="15.75" x14ac:dyDescent="0.25">
      <c r="A2" s="1">
        <v>1</v>
      </c>
      <c r="B2" s="1" t="s">
        <v>5</v>
      </c>
      <c r="C2" s="1">
        <v>52</v>
      </c>
      <c r="D2" s="1">
        <v>91</v>
      </c>
      <c r="E2" s="3" t="s">
        <v>6</v>
      </c>
    </row>
    <row r="3" spans="1:7" ht="15.75" x14ac:dyDescent="0.25">
      <c r="A3" s="1">
        <v>2</v>
      </c>
      <c r="B3" s="1" t="s">
        <v>7</v>
      </c>
      <c r="C3" s="1">
        <v>30</v>
      </c>
      <c r="D3" s="1">
        <v>90</v>
      </c>
      <c r="E3" s="3" t="s">
        <v>6</v>
      </c>
    </row>
    <row r="4" spans="1:7" ht="15.75" x14ac:dyDescent="0.25">
      <c r="A4" s="1">
        <v>3</v>
      </c>
      <c r="B4" s="1" t="s">
        <v>8</v>
      </c>
      <c r="C4" s="1">
        <v>10</v>
      </c>
      <c r="D4" s="1">
        <v>80</v>
      </c>
      <c r="E4" s="3" t="s">
        <v>9</v>
      </c>
    </row>
    <row r="5" spans="1:7" ht="15.75" x14ac:dyDescent="0.25">
      <c r="A5" s="1">
        <v>4</v>
      </c>
      <c r="B5" s="1" t="s">
        <v>10</v>
      </c>
      <c r="C5" s="1">
        <v>120</v>
      </c>
      <c r="D5" s="1">
        <v>93</v>
      </c>
      <c r="E5" s="3" t="s">
        <v>6</v>
      </c>
    </row>
    <row r="6" spans="1:7" ht="15.75" x14ac:dyDescent="0.25">
      <c r="A6" s="1">
        <v>5</v>
      </c>
      <c r="B6" s="1" t="s">
        <v>11</v>
      </c>
      <c r="C6" s="1">
        <v>75</v>
      </c>
      <c r="D6" s="1">
        <v>91</v>
      </c>
      <c r="E6" s="3" t="s">
        <v>6</v>
      </c>
    </row>
    <row r="7" spans="1:7" ht="15.75" x14ac:dyDescent="0.25">
      <c r="A7" s="1">
        <v>6</v>
      </c>
      <c r="B7" s="1" t="s">
        <v>12</v>
      </c>
      <c r="C7" s="1">
        <v>20</v>
      </c>
      <c r="D7" s="1">
        <v>83</v>
      </c>
      <c r="E7" s="3" t="s">
        <v>9</v>
      </c>
    </row>
    <row r="8" spans="1:7" ht="15.75" x14ac:dyDescent="0.25">
      <c r="A8" s="1">
        <v>7</v>
      </c>
      <c r="B8" s="1" t="s">
        <v>13</v>
      </c>
      <c r="C8" s="1">
        <v>39</v>
      </c>
      <c r="D8" s="1">
        <v>87</v>
      </c>
      <c r="E8" s="3" t="s">
        <v>14</v>
      </c>
    </row>
    <row r="9" spans="1:7" ht="15.75" x14ac:dyDescent="0.25">
      <c r="A9" s="1">
        <v>8</v>
      </c>
      <c r="B9" s="1" t="s">
        <v>15</v>
      </c>
      <c r="C9" s="1">
        <v>50</v>
      </c>
      <c r="D9" s="1">
        <v>91</v>
      </c>
      <c r="E9" s="3" t="s">
        <v>6</v>
      </c>
    </row>
    <row r="10" spans="1:7" ht="15.75" x14ac:dyDescent="0.25">
      <c r="A10" s="1">
        <v>9</v>
      </c>
      <c r="B10" s="1" t="s">
        <v>16</v>
      </c>
      <c r="C10" s="1">
        <v>18</v>
      </c>
      <c r="D10" s="1">
        <v>87</v>
      </c>
      <c r="E10" s="3" t="s">
        <v>14</v>
      </c>
    </row>
    <row r="11" spans="1:7" ht="15.75" x14ac:dyDescent="0.25">
      <c r="A11" s="1">
        <v>10</v>
      </c>
      <c r="B11" s="1" t="s">
        <v>17</v>
      </c>
      <c r="C11" s="1">
        <v>31</v>
      </c>
      <c r="D11" s="1">
        <v>88</v>
      </c>
      <c r="E11" s="3" t="s">
        <v>14</v>
      </c>
    </row>
    <row r="12" spans="1:7" ht="15.75" x14ac:dyDescent="0.25">
      <c r="A12" s="1">
        <v>11</v>
      </c>
      <c r="B12" s="1" t="s">
        <v>18</v>
      </c>
      <c r="C12" s="1">
        <v>18</v>
      </c>
      <c r="D12" s="1">
        <v>84</v>
      </c>
      <c r="E12" s="3" t="s">
        <v>9</v>
      </c>
    </row>
    <row r="13" spans="1:7" ht="15.75" x14ac:dyDescent="0.25">
      <c r="A13" s="1">
        <v>12</v>
      </c>
      <c r="B13" s="1" t="s">
        <v>19</v>
      </c>
      <c r="C13" s="1">
        <v>48</v>
      </c>
      <c r="D13" s="1">
        <v>93</v>
      </c>
      <c r="E13" s="3" t="s">
        <v>6</v>
      </c>
    </row>
    <row r="14" spans="1:7" ht="15.75" x14ac:dyDescent="0.25">
      <c r="A14" s="1">
        <v>13</v>
      </c>
      <c r="B14" s="1" t="s">
        <v>20</v>
      </c>
      <c r="C14" s="1">
        <v>55</v>
      </c>
      <c r="D14" s="1">
        <v>92</v>
      </c>
      <c r="E14" s="3" t="s">
        <v>6</v>
      </c>
    </row>
    <row r="15" spans="1:7" ht="15.75" x14ac:dyDescent="0.25">
      <c r="A15" s="1">
        <v>14</v>
      </c>
      <c r="B15" s="1" t="s">
        <v>21</v>
      </c>
      <c r="C15" s="1">
        <v>375</v>
      </c>
      <c r="D15" s="1">
        <v>98</v>
      </c>
      <c r="E15" s="3" t="s">
        <v>22</v>
      </c>
    </row>
    <row r="16" spans="1:7" ht="15.75" x14ac:dyDescent="0.25">
      <c r="A16" s="1">
        <v>15</v>
      </c>
      <c r="B16" s="1" t="s">
        <v>23</v>
      </c>
      <c r="C16" s="1">
        <v>56</v>
      </c>
      <c r="D16" s="1">
        <v>91</v>
      </c>
      <c r="E16" s="3" t="s">
        <v>6</v>
      </c>
      <c r="G16" t="s">
        <v>115</v>
      </c>
    </row>
    <row r="17" spans="1:7" ht="15.75" x14ac:dyDescent="0.25">
      <c r="A17" s="1">
        <v>16</v>
      </c>
      <c r="B17" s="1" t="s">
        <v>24</v>
      </c>
      <c r="C17" s="1">
        <v>38</v>
      </c>
      <c r="D17" s="1">
        <v>90</v>
      </c>
      <c r="E17" s="3" t="s">
        <v>6</v>
      </c>
    </row>
    <row r="18" spans="1:7" ht="15.75" x14ac:dyDescent="0.25">
      <c r="A18" s="1">
        <v>17</v>
      </c>
      <c r="B18" s="1" t="s">
        <v>25</v>
      </c>
      <c r="C18" s="1">
        <v>100</v>
      </c>
      <c r="D18" s="1">
        <v>93</v>
      </c>
      <c r="E18" s="3" t="s">
        <v>6</v>
      </c>
      <c r="G18" t="s">
        <v>113</v>
      </c>
    </row>
    <row r="19" spans="1:7" ht="15.75" x14ac:dyDescent="0.25">
      <c r="A19" s="1">
        <v>18</v>
      </c>
      <c r="B19" s="1" t="s">
        <v>26</v>
      </c>
      <c r="C19" s="1">
        <v>42</v>
      </c>
      <c r="D19" s="1">
        <v>92</v>
      </c>
      <c r="E19" s="3" t="s">
        <v>6</v>
      </c>
      <c r="G19" t="s">
        <v>112</v>
      </c>
    </row>
    <row r="20" spans="1:7" ht="15.75" x14ac:dyDescent="0.25">
      <c r="A20" s="1">
        <v>19</v>
      </c>
      <c r="B20" s="1" t="s">
        <v>27</v>
      </c>
      <c r="C20" s="1">
        <v>35</v>
      </c>
      <c r="D20" s="1">
        <v>89</v>
      </c>
      <c r="E20" s="3" t="s">
        <v>14</v>
      </c>
    </row>
    <row r="21" spans="1:7" ht="15.75" x14ac:dyDescent="0.25">
      <c r="A21" s="1">
        <v>20</v>
      </c>
      <c r="B21" s="1" t="s">
        <v>28</v>
      </c>
      <c r="C21" s="1">
        <v>440</v>
      </c>
      <c r="D21" s="1">
        <v>97</v>
      </c>
      <c r="E21" s="3" t="s">
        <v>22</v>
      </c>
    </row>
    <row r="22" spans="1:7" ht="15.75" x14ac:dyDescent="0.25">
      <c r="A22" s="1">
        <v>21</v>
      </c>
      <c r="B22" s="1" t="s">
        <v>29</v>
      </c>
      <c r="C22" s="1">
        <v>39</v>
      </c>
      <c r="D22" s="1">
        <v>89</v>
      </c>
      <c r="E22" s="3" t="s">
        <v>14</v>
      </c>
    </row>
    <row r="23" spans="1:7" ht="15.75" x14ac:dyDescent="0.25">
      <c r="A23" s="1">
        <v>22</v>
      </c>
      <c r="B23" s="1" t="s">
        <v>30</v>
      </c>
      <c r="C23" s="1">
        <v>35</v>
      </c>
      <c r="D23" s="1">
        <v>87</v>
      </c>
      <c r="E23" s="3" t="s">
        <v>14</v>
      </c>
    </row>
    <row r="24" spans="1:7" ht="15.75" x14ac:dyDescent="0.25">
      <c r="A24" s="1">
        <v>23</v>
      </c>
      <c r="B24" s="1" t="s">
        <v>31</v>
      </c>
      <c r="C24" s="1">
        <v>38</v>
      </c>
      <c r="D24" s="1">
        <v>86</v>
      </c>
      <c r="E24" s="3" t="s">
        <v>14</v>
      </c>
    </row>
    <row r="25" spans="1:7" ht="15.75" x14ac:dyDescent="0.25">
      <c r="A25" s="1">
        <v>24</v>
      </c>
      <c r="B25" s="1" t="s">
        <v>32</v>
      </c>
      <c r="C25" s="1">
        <v>53</v>
      </c>
      <c r="D25" s="1">
        <v>88</v>
      </c>
      <c r="E25" s="3" t="s">
        <v>14</v>
      </c>
    </row>
    <row r="26" spans="1:7" ht="15.75" x14ac:dyDescent="0.25">
      <c r="A26" s="1">
        <v>25</v>
      </c>
      <c r="B26" s="1" t="s">
        <v>33</v>
      </c>
      <c r="C26" s="1">
        <v>20</v>
      </c>
      <c r="D26" s="1">
        <v>88</v>
      </c>
      <c r="E26" s="3" t="s">
        <v>14</v>
      </c>
    </row>
    <row r="27" spans="1:7" ht="15.75" x14ac:dyDescent="0.25">
      <c r="A27" s="1">
        <v>26</v>
      </c>
      <c r="B27" s="1" t="s">
        <v>34</v>
      </c>
      <c r="C27" s="1">
        <v>25</v>
      </c>
      <c r="D27" s="1">
        <v>89</v>
      </c>
      <c r="E27" s="3" t="s">
        <v>14</v>
      </c>
    </row>
    <row r="28" spans="1:7" ht="15.75" x14ac:dyDescent="0.25">
      <c r="A28" s="1">
        <v>27</v>
      </c>
      <c r="B28" s="1" t="s">
        <v>35</v>
      </c>
      <c r="C28" s="1">
        <v>20</v>
      </c>
      <c r="D28" s="1">
        <v>84</v>
      </c>
      <c r="E28" s="3" t="s">
        <v>9</v>
      </c>
    </row>
    <row r="29" spans="1:7" ht="15.75" x14ac:dyDescent="0.25">
      <c r="A29" s="1">
        <v>28</v>
      </c>
      <c r="B29" s="1" t="s">
        <v>36</v>
      </c>
      <c r="C29" s="1">
        <v>29</v>
      </c>
      <c r="D29" s="1">
        <v>82</v>
      </c>
      <c r="E29" s="3" t="s">
        <v>9</v>
      </c>
    </row>
    <row r="30" spans="1:7" ht="15.75" x14ac:dyDescent="0.25">
      <c r="A30" s="1">
        <v>29</v>
      </c>
      <c r="B30" s="1" t="s">
        <v>37</v>
      </c>
      <c r="C30" s="1">
        <v>90</v>
      </c>
      <c r="D30" s="1">
        <v>91</v>
      </c>
      <c r="E30" s="3" t="s">
        <v>6</v>
      </c>
    </row>
    <row r="31" spans="1:7" ht="15.75" x14ac:dyDescent="0.25">
      <c r="A31" s="1">
        <v>30</v>
      </c>
      <c r="B31" s="1" t="s">
        <v>38</v>
      </c>
      <c r="C31" s="1">
        <v>125</v>
      </c>
      <c r="D31" s="1">
        <v>91</v>
      </c>
      <c r="E31" s="3" t="s">
        <v>6</v>
      </c>
    </row>
    <row r="32" spans="1:7" ht="15.75" x14ac:dyDescent="0.25">
      <c r="A32" s="1">
        <v>31</v>
      </c>
      <c r="B32" s="1" t="s">
        <v>39</v>
      </c>
      <c r="C32" s="1">
        <v>55</v>
      </c>
      <c r="D32" s="1">
        <v>90</v>
      </c>
      <c r="E32" s="3" t="s">
        <v>6</v>
      </c>
    </row>
    <row r="33" spans="1:5" ht="15.75" x14ac:dyDescent="0.25">
      <c r="A33" s="1">
        <v>32</v>
      </c>
      <c r="B33" s="1" t="s">
        <v>40</v>
      </c>
      <c r="C33" s="1">
        <v>25</v>
      </c>
      <c r="D33" s="1">
        <v>92</v>
      </c>
      <c r="E33" s="3" t="s">
        <v>6</v>
      </c>
    </row>
    <row r="34" spans="1:5" ht="15.75" x14ac:dyDescent="0.25">
      <c r="A34" s="1">
        <v>33</v>
      </c>
      <c r="B34" s="1" t="s">
        <v>41</v>
      </c>
      <c r="C34" s="1">
        <v>25</v>
      </c>
      <c r="D34" s="1">
        <v>93</v>
      </c>
      <c r="E34" s="3" t="s">
        <v>6</v>
      </c>
    </row>
    <row r="35" spans="1:5" ht="15.75" x14ac:dyDescent="0.25">
      <c r="A35" s="1">
        <v>34</v>
      </c>
      <c r="B35" s="1" t="s">
        <v>42</v>
      </c>
      <c r="C35" s="1">
        <v>32</v>
      </c>
      <c r="D35" s="1">
        <v>89</v>
      </c>
      <c r="E35" s="3" t="s">
        <v>14</v>
      </c>
    </row>
    <row r="36" spans="1:5" ht="15.75" x14ac:dyDescent="0.25">
      <c r="A36" s="1">
        <v>35</v>
      </c>
      <c r="B36" s="1" t="s">
        <v>43</v>
      </c>
      <c r="C36" s="1">
        <v>10</v>
      </c>
      <c r="D36" s="1">
        <v>84</v>
      </c>
      <c r="E36" s="3" t="s">
        <v>9</v>
      </c>
    </row>
    <row r="37" spans="1:5" ht="15.75" x14ac:dyDescent="0.25">
      <c r="A37" s="1">
        <v>36</v>
      </c>
      <c r="B37" s="1" t="s">
        <v>44</v>
      </c>
      <c r="C37" s="1">
        <v>180</v>
      </c>
      <c r="D37" s="1">
        <v>97</v>
      </c>
      <c r="E37" s="3" t="s">
        <v>22</v>
      </c>
    </row>
    <row r="38" spans="1:5" ht="15.75" x14ac:dyDescent="0.25">
      <c r="A38" s="1">
        <v>37</v>
      </c>
      <c r="B38" s="1" t="s">
        <v>45</v>
      </c>
      <c r="C38" s="1">
        <v>27</v>
      </c>
      <c r="D38" s="1">
        <v>90</v>
      </c>
      <c r="E38" s="3" t="s">
        <v>6</v>
      </c>
    </row>
    <row r="39" spans="1:5" ht="15.75" x14ac:dyDescent="0.25">
      <c r="A39" s="1">
        <v>38</v>
      </c>
      <c r="B39" s="1" t="s">
        <v>46</v>
      </c>
      <c r="C39" s="1">
        <v>147</v>
      </c>
      <c r="D39" s="1">
        <v>92</v>
      </c>
      <c r="E39" s="3" t="s">
        <v>6</v>
      </c>
    </row>
    <row r="40" spans="1:5" ht="15.75" x14ac:dyDescent="0.25">
      <c r="A40" s="1">
        <v>39</v>
      </c>
      <c r="B40" s="1" t="s">
        <v>47</v>
      </c>
      <c r="C40" s="1">
        <v>38</v>
      </c>
      <c r="D40" s="1">
        <v>89</v>
      </c>
      <c r="E40" s="3" t="s">
        <v>14</v>
      </c>
    </row>
    <row r="41" spans="1:5" ht="15.75" x14ac:dyDescent="0.25">
      <c r="A41" s="1">
        <v>40</v>
      </c>
      <c r="B41" s="1" t="s">
        <v>48</v>
      </c>
      <c r="C41" s="1">
        <v>57</v>
      </c>
      <c r="D41" s="1">
        <v>89</v>
      </c>
      <c r="E41" s="3" t="s">
        <v>14</v>
      </c>
    </row>
    <row r="42" spans="1:5" ht="15.75" x14ac:dyDescent="0.25">
      <c r="A42" s="1">
        <v>41</v>
      </c>
      <c r="B42" s="1" t="s">
        <v>49</v>
      </c>
      <c r="C42" s="1">
        <v>22</v>
      </c>
      <c r="D42" s="1">
        <v>89</v>
      </c>
      <c r="E42" s="3" t="s">
        <v>14</v>
      </c>
    </row>
    <row r="43" spans="1:5" ht="15.75" x14ac:dyDescent="0.25">
      <c r="A43" s="1">
        <v>42</v>
      </c>
      <c r="B43" s="1" t="s">
        <v>50</v>
      </c>
      <c r="C43" s="1">
        <v>19</v>
      </c>
      <c r="D43" s="1">
        <v>87</v>
      </c>
      <c r="E43" s="3" t="s">
        <v>14</v>
      </c>
    </row>
    <row r="44" spans="1:5" ht="15.75" x14ac:dyDescent="0.25">
      <c r="A44" s="1">
        <v>43</v>
      </c>
      <c r="B44" s="1" t="s">
        <v>51</v>
      </c>
      <c r="C44" s="1">
        <v>72</v>
      </c>
      <c r="D44" s="1">
        <v>94</v>
      </c>
      <c r="E44" s="3" t="s">
        <v>6</v>
      </c>
    </row>
    <row r="45" spans="1:5" ht="15.75" x14ac:dyDescent="0.25">
      <c r="A45" s="1">
        <v>44</v>
      </c>
      <c r="B45" s="1" t="s">
        <v>52</v>
      </c>
      <c r="C45" s="1">
        <v>150</v>
      </c>
      <c r="D45" s="1">
        <v>94</v>
      </c>
      <c r="E45" s="3" t="s">
        <v>6</v>
      </c>
    </row>
    <row r="46" spans="1:5" ht="15.75" x14ac:dyDescent="0.25">
      <c r="A46" s="1">
        <v>45</v>
      </c>
      <c r="B46" s="1" t="s">
        <v>53</v>
      </c>
      <c r="C46" s="1">
        <v>60</v>
      </c>
      <c r="D46" s="1">
        <v>93</v>
      </c>
      <c r="E46" s="3" t="s">
        <v>6</v>
      </c>
    </row>
    <row r="47" spans="1:5" ht="15.75" x14ac:dyDescent="0.25">
      <c r="A47" s="1">
        <v>46</v>
      </c>
      <c r="B47" s="1" t="s">
        <v>54</v>
      </c>
      <c r="C47" s="1">
        <v>17</v>
      </c>
      <c r="D47" s="1">
        <v>88</v>
      </c>
      <c r="E47" s="3" t="s">
        <v>14</v>
      </c>
    </row>
    <row r="48" spans="1:5" ht="15.75" x14ac:dyDescent="0.25">
      <c r="A48" s="1">
        <v>47</v>
      </c>
      <c r="B48" s="1" t="s">
        <v>5</v>
      </c>
      <c r="C48" s="1">
        <v>55</v>
      </c>
      <c r="D48" s="1">
        <v>88</v>
      </c>
      <c r="E48" s="3" t="s">
        <v>14</v>
      </c>
    </row>
    <row r="49" spans="1:5" ht="15.75" x14ac:dyDescent="0.25">
      <c r="A49" s="1">
        <v>48</v>
      </c>
      <c r="B49" s="1" t="s">
        <v>55</v>
      </c>
      <c r="C49" s="1">
        <v>18</v>
      </c>
      <c r="D49" s="1">
        <v>86</v>
      </c>
      <c r="E49" s="3" t="s">
        <v>14</v>
      </c>
    </row>
    <row r="50" spans="1:5" ht="15.75" x14ac:dyDescent="0.25">
      <c r="A50" s="1">
        <v>49</v>
      </c>
      <c r="B50" s="1" t="s">
        <v>55</v>
      </c>
      <c r="C50" s="1">
        <v>19</v>
      </c>
      <c r="D50" s="1">
        <v>88</v>
      </c>
      <c r="E50" s="3" t="s">
        <v>14</v>
      </c>
    </row>
    <row r="51" spans="1:5" ht="15.75" x14ac:dyDescent="0.25">
      <c r="A51" s="1">
        <v>50</v>
      </c>
      <c r="B51" s="1" t="s">
        <v>56</v>
      </c>
      <c r="C51" s="1">
        <v>109</v>
      </c>
      <c r="D51" s="1">
        <v>91</v>
      </c>
      <c r="E51" s="3" t="s">
        <v>6</v>
      </c>
    </row>
    <row r="52" spans="1:5" ht="15.75" x14ac:dyDescent="0.25">
      <c r="A52" s="1">
        <v>51</v>
      </c>
      <c r="B52" s="1" t="s">
        <v>57</v>
      </c>
      <c r="C52" s="1">
        <v>12</v>
      </c>
      <c r="D52" s="1">
        <v>87</v>
      </c>
      <c r="E52" s="3" t="s">
        <v>14</v>
      </c>
    </row>
    <row r="53" spans="1:5" ht="15.75" x14ac:dyDescent="0.25">
      <c r="A53" s="1">
        <v>52</v>
      </c>
      <c r="B53" s="1" t="s">
        <v>58</v>
      </c>
      <c r="C53" s="1">
        <v>35</v>
      </c>
      <c r="D53" s="1">
        <v>89</v>
      </c>
      <c r="E53" s="3" t="s">
        <v>14</v>
      </c>
    </row>
    <row r="54" spans="1:5" ht="15.75" x14ac:dyDescent="0.25">
      <c r="A54" s="1">
        <v>53</v>
      </c>
      <c r="B54" s="1" t="s">
        <v>59</v>
      </c>
      <c r="C54" s="1">
        <v>20</v>
      </c>
      <c r="D54" s="1">
        <v>89</v>
      </c>
      <c r="E54" s="3" t="s">
        <v>14</v>
      </c>
    </row>
    <row r="55" spans="1:5" ht="15.75" x14ac:dyDescent="0.25">
      <c r="A55" s="1">
        <v>54</v>
      </c>
      <c r="B55" s="1" t="s">
        <v>60</v>
      </c>
      <c r="C55" s="1">
        <v>210</v>
      </c>
      <c r="D55" s="1">
        <v>93</v>
      </c>
      <c r="E55" s="3" t="s">
        <v>6</v>
      </c>
    </row>
    <row r="56" spans="1:5" ht="15.75" x14ac:dyDescent="0.25">
      <c r="A56" s="1">
        <v>55</v>
      </c>
      <c r="B56" s="1" t="s">
        <v>12</v>
      </c>
      <c r="C56" s="1">
        <v>21</v>
      </c>
      <c r="D56" s="1">
        <v>78</v>
      </c>
      <c r="E56" s="3" t="s">
        <v>61</v>
      </c>
    </row>
    <row r="57" spans="1:5" ht="15.75" x14ac:dyDescent="0.25">
      <c r="A57" s="1">
        <v>56</v>
      </c>
      <c r="B57" s="1" t="s">
        <v>5</v>
      </c>
      <c r="C57" s="1">
        <v>37</v>
      </c>
      <c r="D57" s="1">
        <v>93</v>
      </c>
      <c r="E57" s="3" t="s">
        <v>6</v>
      </c>
    </row>
    <row r="58" spans="1:5" ht="15.75" x14ac:dyDescent="0.25">
      <c r="A58" s="1">
        <v>57</v>
      </c>
      <c r="B58" s="1" t="s">
        <v>62</v>
      </c>
      <c r="C58" s="1">
        <v>16</v>
      </c>
      <c r="D58" s="1">
        <v>89</v>
      </c>
      <c r="E58" s="3" t="s">
        <v>14</v>
      </c>
    </row>
    <row r="59" spans="1:5" ht="15.75" x14ac:dyDescent="0.25">
      <c r="A59" s="1">
        <v>58</v>
      </c>
      <c r="B59" s="1" t="s">
        <v>63</v>
      </c>
      <c r="C59" s="1">
        <v>58</v>
      </c>
      <c r="D59" s="1">
        <v>88</v>
      </c>
      <c r="E59" s="3" t="s">
        <v>14</v>
      </c>
    </row>
    <row r="60" spans="1:5" ht="15.75" x14ac:dyDescent="0.25">
      <c r="A60" s="1">
        <v>59</v>
      </c>
      <c r="B60" s="1" t="s">
        <v>64</v>
      </c>
      <c r="C60" s="1">
        <v>75</v>
      </c>
      <c r="D60" s="1">
        <v>92</v>
      </c>
      <c r="E60" s="3" t="s">
        <v>6</v>
      </c>
    </row>
    <row r="61" spans="1:5" ht="15.75" x14ac:dyDescent="0.25">
      <c r="A61" s="1">
        <v>60</v>
      </c>
      <c r="B61" s="1" t="s">
        <v>65</v>
      </c>
      <c r="C61" s="1">
        <v>39</v>
      </c>
      <c r="D61" s="1">
        <v>88</v>
      </c>
      <c r="E61" s="3" t="s">
        <v>14</v>
      </c>
    </row>
    <row r="62" spans="1:5" ht="15.75" x14ac:dyDescent="0.25">
      <c r="A62" s="1">
        <v>61</v>
      </c>
      <c r="B62" s="1" t="s">
        <v>66</v>
      </c>
      <c r="C62" s="1">
        <v>300</v>
      </c>
      <c r="D62" s="1">
        <v>96</v>
      </c>
      <c r="E62" s="3" t="s">
        <v>22</v>
      </c>
    </row>
    <row r="63" spans="1:5" ht="15.75" x14ac:dyDescent="0.25">
      <c r="A63" s="1">
        <v>62</v>
      </c>
      <c r="B63" s="1" t="s">
        <v>60</v>
      </c>
      <c r="C63" s="1">
        <v>35</v>
      </c>
      <c r="D63" s="1">
        <v>90</v>
      </c>
      <c r="E63" s="3" t="s">
        <v>6</v>
      </c>
    </row>
    <row r="64" spans="1:5" ht="15.75" x14ac:dyDescent="0.25">
      <c r="A64" s="1">
        <v>63</v>
      </c>
      <c r="B64" s="1" t="s">
        <v>59</v>
      </c>
      <c r="C64" s="1">
        <v>22</v>
      </c>
      <c r="D64" s="1">
        <v>90</v>
      </c>
      <c r="E64" s="3" t="s">
        <v>6</v>
      </c>
    </row>
    <row r="65" spans="1:5" ht="15.75" x14ac:dyDescent="0.25">
      <c r="A65" s="1">
        <v>64</v>
      </c>
      <c r="B65" s="1" t="s">
        <v>5</v>
      </c>
      <c r="C65" s="1">
        <v>90</v>
      </c>
      <c r="D65" s="1">
        <v>92</v>
      </c>
      <c r="E65" s="3" t="s">
        <v>6</v>
      </c>
    </row>
    <row r="66" spans="1:5" ht="15.75" x14ac:dyDescent="0.25">
      <c r="A66" s="1">
        <v>65</v>
      </c>
      <c r="B66" s="1" t="s">
        <v>67</v>
      </c>
      <c r="C66" s="1">
        <v>95</v>
      </c>
      <c r="D66" s="1">
        <v>93</v>
      </c>
      <c r="E66" s="3" t="s">
        <v>6</v>
      </c>
    </row>
    <row r="67" spans="1:5" ht="15.75" x14ac:dyDescent="0.25">
      <c r="A67" s="1">
        <v>66</v>
      </c>
      <c r="B67" s="1" t="s">
        <v>68</v>
      </c>
      <c r="C67" s="1">
        <v>21</v>
      </c>
      <c r="D67" s="1">
        <v>89</v>
      </c>
      <c r="E67" s="3" t="s">
        <v>14</v>
      </c>
    </row>
    <row r="68" spans="1:5" ht="15.75" x14ac:dyDescent="0.25">
      <c r="A68" s="1">
        <v>67</v>
      </c>
      <c r="B68" s="1" t="s">
        <v>69</v>
      </c>
      <c r="C68" s="1">
        <v>10</v>
      </c>
      <c r="D68" s="1">
        <v>83</v>
      </c>
      <c r="E68" s="3" t="s">
        <v>9</v>
      </c>
    </row>
    <row r="69" spans="1:5" ht="15.75" x14ac:dyDescent="0.25">
      <c r="A69" s="1">
        <v>68</v>
      </c>
      <c r="B69" s="1" t="s">
        <v>70</v>
      </c>
      <c r="C69" s="1">
        <v>25</v>
      </c>
      <c r="D69" s="1">
        <v>86</v>
      </c>
      <c r="E69" s="3" t="s">
        <v>14</v>
      </c>
    </row>
    <row r="70" spans="1:5" ht="15.75" x14ac:dyDescent="0.25">
      <c r="A70" s="1">
        <v>69</v>
      </c>
      <c r="B70" s="1" t="s">
        <v>71</v>
      </c>
      <c r="C70" s="1">
        <v>29</v>
      </c>
      <c r="D70" s="1">
        <v>90</v>
      </c>
      <c r="E70" s="3" t="s">
        <v>6</v>
      </c>
    </row>
    <row r="71" spans="1:5" ht="15.75" x14ac:dyDescent="0.25">
      <c r="A71" s="1">
        <v>70</v>
      </c>
      <c r="B71" s="1" t="s">
        <v>72</v>
      </c>
      <c r="C71" s="1">
        <v>23</v>
      </c>
      <c r="D71" s="1">
        <v>89</v>
      </c>
      <c r="E71" s="3" t="s">
        <v>14</v>
      </c>
    </row>
    <row r="72" spans="1:5" ht="15.75" x14ac:dyDescent="0.25">
      <c r="A72" s="1">
        <v>71</v>
      </c>
      <c r="B72" s="1" t="s">
        <v>73</v>
      </c>
      <c r="C72" s="1">
        <v>90</v>
      </c>
      <c r="D72" s="1">
        <v>96</v>
      </c>
      <c r="E72" s="3" t="s">
        <v>22</v>
      </c>
    </row>
    <row r="73" spans="1:5" ht="15.75" x14ac:dyDescent="0.25">
      <c r="A73" s="1">
        <v>72</v>
      </c>
      <c r="B73" s="1" t="s">
        <v>59</v>
      </c>
      <c r="C73" s="1">
        <v>18</v>
      </c>
      <c r="D73" s="1">
        <v>88</v>
      </c>
      <c r="E73" s="3" t="s">
        <v>14</v>
      </c>
    </row>
    <row r="74" spans="1:5" ht="15.75" x14ac:dyDescent="0.25">
      <c r="A74" s="1">
        <v>73</v>
      </c>
      <c r="B74" s="1" t="s">
        <v>74</v>
      </c>
      <c r="C74" s="1">
        <v>54</v>
      </c>
      <c r="D74" s="1">
        <v>89</v>
      </c>
      <c r="E74" s="3" t="s">
        <v>14</v>
      </c>
    </row>
    <row r="75" spans="1:5" ht="15.75" x14ac:dyDescent="0.25">
      <c r="A75" s="1">
        <v>74</v>
      </c>
      <c r="B75" s="1" t="s">
        <v>75</v>
      </c>
      <c r="C75" s="1">
        <v>62</v>
      </c>
      <c r="D75" s="1">
        <v>96</v>
      </c>
      <c r="E75" s="3" t="s">
        <v>22</v>
      </c>
    </row>
    <row r="76" spans="1:5" ht="15.75" x14ac:dyDescent="0.25">
      <c r="A76" s="1">
        <v>75</v>
      </c>
      <c r="B76" s="1" t="s">
        <v>76</v>
      </c>
      <c r="C76" s="1">
        <v>21</v>
      </c>
      <c r="D76" s="1">
        <v>88</v>
      </c>
      <c r="E76" s="3" t="s">
        <v>14</v>
      </c>
    </row>
    <row r="77" spans="1:5" ht="15.75" x14ac:dyDescent="0.25">
      <c r="A77" s="1">
        <v>76</v>
      </c>
      <c r="B77" s="1" t="s">
        <v>77</v>
      </c>
      <c r="C77" s="1">
        <v>37</v>
      </c>
      <c r="D77" s="1">
        <v>88</v>
      </c>
      <c r="E77" s="3" t="s">
        <v>14</v>
      </c>
    </row>
    <row r="78" spans="1:5" ht="15.75" x14ac:dyDescent="0.25">
      <c r="A78" s="1">
        <v>77</v>
      </c>
      <c r="B78" s="1" t="s">
        <v>78</v>
      </c>
      <c r="C78" s="1">
        <v>24</v>
      </c>
      <c r="D78" s="1">
        <v>86</v>
      </c>
      <c r="E78" s="3" t="s">
        <v>14</v>
      </c>
    </row>
    <row r="79" spans="1:5" ht="15.75" x14ac:dyDescent="0.25">
      <c r="A79" s="1">
        <v>78</v>
      </c>
      <c r="B79" s="1" t="s">
        <v>5</v>
      </c>
      <c r="C79" s="1">
        <v>52</v>
      </c>
      <c r="D79" s="1">
        <v>91</v>
      </c>
      <c r="E79" s="3" t="s">
        <v>6</v>
      </c>
    </row>
    <row r="80" spans="1:5" ht="15.75" x14ac:dyDescent="0.25">
      <c r="A80" s="1">
        <v>79</v>
      </c>
      <c r="B80" s="1" t="s">
        <v>79</v>
      </c>
      <c r="C80" s="1">
        <v>55</v>
      </c>
      <c r="D80" s="1">
        <v>88</v>
      </c>
      <c r="E80" s="3" t="s">
        <v>14</v>
      </c>
    </row>
    <row r="81" spans="1:5" ht="15.75" x14ac:dyDescent="0.25">
      <c r="A81" s="1">
        <v>80</v>
      </c>
      <c r="B81" s="1" t="s">
        <v>80</v>
      </c>
      <c r="C81" s="1">
        <v>440</v>
      </c>
      <c r="D81" s="1">
        <v>95</v>
      </c>
      <c r="E81" s="3" t="s">
        <v>22</v>
      </c>
    </row>
    <row r="82" spans="1:5" ht="15.75" x14ac:dyDescent="0.25">
      <c r="A82" s="1">
        <v>81</v>
      </c>
      <c r="B82" s="1" t="s">
        <v>81</v>
      </c>
      <c r="C82" s="1">
        <v>105</v>
      </c>
      <c r="D82" s="1">
        <v>90</v>
      </c>
      <c r="E82" s="3" t="s">
        <v>6</v>
      </c>
    </row>
    <row r="83" spans="1:5" ht="15.75" x14ac:dyDescent="0.25">
      <c r="A83" s="1">
        <v>82</v>
      </c>
      <c r="B83" s="1" t="s">
        <v>82</v>
      </c>
      <c r="C83" s="1">
        <v>40</v>
      </c>
      <c r="D83" s="1">
        <v>89</v>
      </c>
      <c r="E83" s="3" t="s">
        <v>14</v>
      </c>
    </row>
    <row r="84" spans="1:5" ht="15.75" x14ac:dyDescent="0.25">
      <c r="A84" s="1">
        <v>83</v>
      </c>
      <c r="B84" s="1" t="s">
        <v>83</v>
      </c>
      <c r="C84" s="1">
        <v>120</v>
      </c>
      <c r="D84" s="1">
        <v>92</v>
      </c>
      <c r="E84" s="3" t="s">
        <v>6</v>
      </c>
    </row>
    <row r="85" spans="1:5" ht="15.75" x14ac:dyDescent="0.25">
      <c r="A85" s="1">
        <v>84</v>
      </c>
      <c r="B85" s="1" t="s">
        <v>84</v>
      </c>
      <c r="C85" s="1">
        <v>26</v>
      </c>
      <c r="D85" s="1">
        <v>90</v>
      </c>
      <c r="E85" s="3" t="s">
        <v>6</v>
      </c>
    </row>
    <row r="86" spans="1:5" ht="15.75" x14ac:dyDescent="0.25">
      <c r="A86" s="1">
        <v>85</v>
      </c>
      <c r="B86" s="1" t="s">
        <v>85</v>
      </c>
      <c r="C86" s="1">
        <v>28</v>
      </c>
      <c r="D86" s="1">
        <v>88</v>
      </c>
      <c r="E86" s="3" t="s">
        <v>14</v>
      </c>
    </row>
    <row r="87" spans="1:5" ht="15.75" x14ac:dyDescent="0.25">
      <c r="A87" s="1">
        <v>86</v>
      </c>
      <c r="B87" s="1" t="s">
        <v>86</v>
      </c>
      <c r="C87" s="1">
        <v>150</v>
      </c>
      <c r="D87" s="1">
        <v>93</v>
      </c>
      <c r="E87" s="3" t="s">
        <v>6</v>
      </c>
    </row>
    <row r="88" spans="1:5" ht="15.75" x14ac:dyDescent="0.25">
      <c r="A88" s="1">
        <v>87</v>
      </c>
      <c r="B88" s="1" t="s">
        <v>5</v>
      </c>
      <c r="C88" s="1">
        <v>37</v>
      </c>
      <c r="D88" s="1">
        <v>91</v>
      </c>
      <c r="E88" s="3" t="s">
        <v>6</v>
      </c>
    </row>
    <row r="89" spans="1:5" ht="15.75" x14ac:dyDescent="0.25">
      <c r="A89" s="1">
        <v>88</v>
      </c>
      <c r="B89" s="1" t="s">
        <v>87</v>
      </c>
      <c r="C89" s="1">
        <v>43</v>
      </c>
      <c r="D89" s="1">
        <v>89</v>
      </c>
      <c r="E89" s="3" t="s">
        <v>14</v>
      </c>
    </row>
    <row r="90" spans="1:5" ht="15.75" x14ac:dyDescent="0.25">
      <c r="A90" s="1">
        <v>89</v>
      </c>
      <c r="B90" s="1" t="s">
        <v>88</v>
      </c>
      <c r="C90" s="1">
        <v>120</v>
      </c>
      <c r="D90" s="1">
        <v>91</v>
      </c>
      <c r="E90" s="3" t="s">
        <v>6</v>
      </c>
    </row>
    <row r="91" spans="1:5" ht="15.75" x14ac:dyDescent="0.25">
      <c r="A91" s="1">
        <v>90</v>
      </c>
      <c r="B91" s="1" t="s">
        <v>89</v>
      </c>
      <c r="C91" s="1">
        <v>25</v>
      </c>
      <c r="D91" s="1">
        <v>87</v>
      </c>
      <c r="E91" s="3" t="s">
        <v>14</v>
      </c>
    </row>
    <row r="92" spans="1:5" ht="15.75" x14ac:dyDescent="0.25">
      <c r="A92" s="1">
        <v>91</v>
      </c>
      <c r="B92" s="1" t="s">
        <v>90</v>
      </c>
      <c r="C92" s="1">
        <v>25</v>
      </c>
      <c r="D92" s="1">
        <v>88</v>
      </c>
      <c r="E92" s="3" t="s">
        <v>14</v>
      </c>
    </row>
    <row r="93" spans="1:5" ht="15.75" x14ac:dyDescent="0.25">
      <c r="A93" s="1">
        <v>92</v>
      </c>
      <c r="B93" s="1" t="s">
        <v>91</v>
      </c>
      <c r="C93" s="1">
        <v>40</v>
      </c>
      <c r="D93" s="1">
        <v>90</v>
      </c>
      <c r="E93" s="3" t="s">
        <v>6</v>
      </c>
    </row>
    <row r="94" spans="1:5" ht="15.75" x14ac:dyDescent="0.25">
      <c r="A94" s="1">
        <v>93</v>
      </c>
      <c r="B94" s="1" t="s">
        <v>92</v>
      </c>
      <c r="C94" s="1">
        <v>57</v>
      </c>
      <c r="D94" s="1">
        <v>90</v>
      </c>
      <c r="E94" s="3" t="s">
        <v>6</v>
      </c>
    </row>
    <row r="95" spans="1:5" ht="15.75" x14ac:dyDescent="0.25">
      <c r="A95" s="1">
        <v>94</v>
      </c>
      <c r="B95" s="1" t="s">
        <v>93</v>
      </c>
      <c r="C95" s="1">
        <v>27</v>
      </c>
      <c r="D95" s="1">
        <v>89</v>
      </c>
      <c r="E95" s="3" t="s">
        <v>14</v>
      </c>
    </row>
    <row r="96" spans="1:5" ht="15.75" x14ac:dyDescent="0.25">
      <c r="A96" s="1">
        <v>95</v>
      </c>
      <c r="B96" s="1" t="s">
        <v>94</v>
      </c>
      <c r="C96" s="1">
        <v>19</v>
      </c>
      <c r="D96" s="1">
        <v>88</v>
      </c>
      <c r="E96" s="3" t="s">
        <v>14</v>
      </c>
    </row>
    <row r="97" spans="1:5" ht="15.75" x14ac:dyDescent="0.25">
      <c r="A97" s="1">
        <v>96</v>
      </c>
      <c r="B97" s="1" t="s">
        <v>95</v>
      </c>
      <c r="C97" s="1">
        <v>15</v>
      </c>
      <c r="D97" s="1">
        <v>87</v>
      </c>
      <c r="E97" s="3" t="s">
        <v>14</v>
      </c>
    </row>
    <row r="98" spans="1:5" ht="15.75" x14ac:dyDescent="0.25">
      <c r="A98" s="1">
        <v>97</v>
      </c>
      <c r="B98" s="1" t="s">
        <v>96</v>
      </c>
      <c r="C98" s="1">
        <v>13</v>
      </c>
      <c r="D98" s="1">
        <v>88</v>
      </c>
      <c r="E98" s="3" t="s">
        <v>14</v>
      </c>
    </row>
    <row r="99" spans="1:5" ht="15.75" x14ac:dyDescent="0.25">
      <c r="A99" s="1">
        <v>98</v>
      </c>
      <c r="B99" s="1" t="s">
        <v>97</v>
      </c>
      <c r="C99" s="1">
        <v>69</v>
      </c>
      <c r="D99" s="1">
        <v>92</v>
      </c>
      <c r="E99" s="3" t="s">
        <v>6</v>
      </c>
    </row>
    <row r="100" spans="1:5" ht="15.75" x14ac:dyDescent="0.25">
      <c r="A100" s="1">
        <v>99</v>
      </c>
      <c r="B100" s="1" t="s">
        <v>94</v>
      </c>
      <c r="C100" s="1">
        <v>13</v>
      </c>
      <c r="D100" s="1">
        <v>87</v>
      </c>
      <c r="E100" s="3" t="s">
        <v>14</v>
      </c>
    </row>
    <row r="101" spans="1:5" ht="15.75" x14ac:dyDescent="0.25">
      <c r="A101" s="1">
        <v>100</v>
      </c>
      <c r="B101" s="1" t="s">
        <v>98</v>
      </c>
      <c r="C101" s="1">
        <v>50</v>
      </c>
      <c r="D101" s="1">
        <v>87</v>
      </c>
      <c r="E101" s="3" t="s">
        <v>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CD0D-0C05-49F1-86B5-3D8706603012}">
  <dimension ref="A1:G101"/>
  <sheetViews>
    <sheetView topLeftCell="A49" workbookViewId="0">
      <selection sqref="A1:F101"/>
    </sheetView>
  </sheetViews>
  <sheetFormatPr defaultRowHeight="15" x14ac:dyDescent="0.25"/>
  <cols>
    <col min="1" max="1" width="8.7109375" bestFit="1" customWidth="1"/>
    <col min="2" max="2" width="44.5703125" bestFit="1" customWidth="1"/>
    <col min="3" max="3" width="5.85546875" bestFit="1" customWidth="1"/>
    <col min="4" max="4" width="6.42578125" bestFit="1" customWidth="1"/>
    <col min="5" max="5" width="11.28515625" bestFit="1" customWidth="1"/>
    <col min="7" max="7" width="80.5703125" bestFit="1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114</v>
      </c>
    </row>
    <row r="2" spans="1:7" ht="15.75" x14ac:dyDescent="0.25">
      <c r="A2" s="1">
        <v>1</v>
      </c>
      <c r="B2" s="1" t="s">
        <v>5</v>
      </c>
      <c r="C2" s="1">
        <v>52</v>
      </c>
      <c r="D2" s="1">
        <v>91</v>
      </c>
      <c r="E2" s="3" t="s">
        <v>6</v>
      </c>
      <c r="F2" cm="1">
        <f t="array" ref="F2:F101">(C2:C101)^2</f>
        <v>2704</v>
      </c>
    </row>
    <row r="3" spans="1:7" ht="15.75" x14ac:dyDescent="0.25">
      <c r="A3" s="1">
        <v>2</v>
      </c>
      <c r="B3" s="1" t="s">
        <v>7</v>
      </c>
      <c r="C3" s="1">
        <v>30</v>
      </c>
      <c r="D3" s="1">
        <v>90</v>
      </c>
      <c r="E3" s="3" t="s">
        <v>6</v>
      </c>
      <c r="F3">
        <v>900</v>
      </c>
    </row>
    <row r="4" spans="1:7" ht="15.75" x14ac:dyDescent="0.25">
      <c r="A4" s="1">
        <v>3</v>
      </c>
      <c r="B4" s="1" t="s">
        <v>8</v>
      </c>
      <c r="C4" s="1">
        <v>10</v>
      </c>
      <c r="D4" s="1">
        <v>80</v>
      </c>
      <c r="E4" s="3" t="s">
        <v>9</v>
      </c>
      <c r="F4">
        <v>100</v>
      </c>
    </row>
    <row r="5" spans="1:7" ht="15.75" x14ac:dyDescent="0.25">
      <c r="A5" s="1">
        <v>4</v>
      </c>
      <c r="B5" s="1" t="s">
        <v>10</v>
      </c>
      <c r="C5" s="1">
        <v>120</v>
      </c>
      <c r="D5" s="1">
        <v>93</v>
      </c>
      <c r="E5" s="3" t="s">
        <v>6</v>
      </c>
      <c r="F5">
        <v>14400</v>
      </c>
    </row>
    <row r="6" spans="1:7" ht="15.75" x14ac:dyDescent="0.25">
      <c r="A6" s="1">
        <v>5</v>
      </c>
      <c r="B6" s="1" t="s">
        <v>11</v>
      </c>
      <c r="C6" s="1">
        <v>75</v>
      </c>
      <c r="D6" s="1">
        <v>91</v>
      </c>
      <c r="E6" s="3" t="s">
        <v>6</v>
      </c>
      <c r="F6">
        <v>5625</v>
      </c>
    </row>
    <row r="7" spans="1:7" ht="15.75" x14ac:dyDescent="0.25">
      <c r="A7" s="1">
        <v>6</v>
      </c>
      <c r="B7" s="1" t="s">
        <v>12</v>
      </c>
      <c r="C7" s="1">
        <v>20</v>
      </c>
      <c r="D7" s="1">
        <v>83</v>
      </c>
      <c r="E7" s="3" t="s">
        <v>9</v>
      </c>
      <c r="F7">
        <v>400</v>
      </c>
    </row>
    <row r="8" spans="1:7" ht="15.75" x14ac:dyDescent="0.25">
      <c r="A8" s="1">
        <v>7</v>
      </c>
      <c r="B8" s="1" t="s">
        <v>13</v>
      </c>
      <c r="C8" s="1">
        <v>39</v>
      </c>
      <c r="D8" s="1">
        <v>87</v>
      </c>
      <c r="E8" s="3" t="s">
        <v>14</v>
      </c>
      <c r="F8">
        <v>1521</v>
      </c>
    </row>
    <row r="9" spans="1:7" ht="15.75" x14ac:dyDescent="0.25">
      <c r="A9" s="1">
        <v>8</v>
      </c>
      <c r="B9" s="1" t="s">
        <v>15</v>
      </c>
      <c r="C9" s="1">
        <v>50</v>
      </c>
      <c r="D9" s="1">
        <v>91</v>
      </c>
      <c r="E9" s="3" t="s">
        <v>6</v>
      </c>
      <c r="F9">
        <v>2500</v>
      </c>
    </row>
    <row r="10" spans="1:7" ht="15.75" x14ac:dyDescent="0.25">
      <c r="A10" s="1">
        <v>9</v>
      </c>
      <c r="B10" s="1" t="s">
        <v>16</v>
      </c>
      <c r="C10" s="1">
        <v>18</v>
      </c>
      <c r="D10" s="1">
        <v>87</v>
      </c>
      <c r="E10" s="3" t="s">
        <v>14</v>
      </c>
      <c r="F10">
        <v>324</v>
      </c>
    </row>
    <row r="11" spans="1:7" ht="15.75" x14ac:dyDescent="0.25">
      <c r="A11" s="1">
        <v>10</v>
      </c>
      <c r="B11" s="1" t="s">
        <v>17</v>
      </c>
      <c r="C11" s="1">
        <v>31</v>
      </c>
      <c r="D11" s="1">
        <v>88</v>
      </c>
      <c r="E11" s="3" t="s">
        <v>14</v>
      </c>
      <c r="F11">
        <v>961</v>
      </c>
    </row>
    <row r="12" spans="1:7" ht="15.75" x14ac:dyDescent="0.25">
      <c r="A12" s="1">
        <v>11</v>
      </c>
      <c r="B12" s="1" t="s">
        <v>18</v>
      </c>
      <c r="C12" s="1">
        <v>18</v>
      </c>
      <c r="D12" s="1">
        <v>84</v>
      </c>
      <c r="E12" s="3" t="s">
        <v>9</v>
      </c>
      <c r="F12">
        <v>324</v>
      </c>
    </row>
    <row r="13" spans="1:7" ht="15.75" x14ac:dyDescent="0.25">
      <c r="A13" s="1">
        <v>12</v>
      </c>
      <c r="B13" s="1" t="s">
        <v>19</v>
      </c>
      <c r="C13" s="1">
        <v>48</v>
      </c>
      <c r="D13" s="1">
        <v>93</v>
      </c>
      <c r="E13" s="3" t="s">
        <v>6</v>
      </c>
      <c r="F13">
        <v>2304</v>
      </c>
    </row>
    <row r="14" spans="1:7" ht="15.75" x14ac:dyDescent="0.25">
      <c r="A14" s="1">
        <v>13</v>
      </c>
      <c r="B14" s="1" t="s">
        <v>20</v>
      </c>
      <c r="C14" s="1">
        <v>55</v>
      </c>
      <c r="D14" s="1">
        <v>92</v>
      </c>
      <c r="E14" s="3" t="s">
        <v>6</v>
      </c>
      <c r="F14">
        <v>3025</v>
      </c>
    </row>
    <row r="15" spans="1:7" ht="15.75" x14ac:dyDescent="0.25">
      <c r="A15" s="1">
        <v>14</v>
      </c>
      <c r="B15" s="1" t="s">
        <v>21</v>
      </c>
      <c r="C15" s="1">
        <v>375</v>
      </c>
      <c r="D15" s="1">
        <v>98</v>
      </c>
      <c r="E15" s="3" t="s">
        <v>22</v>
      </c>
      <c r="F15">
        <v>140625</v>
      </c>
    </row>
    <row r="16" spans="1:7" ht="15.75" x14ac:dyDescent="0.25">
      <c r="A16" s="1">
        <v>15</v>
      </c>
      <c r="B16" s="1" t="s">
        <v>23</v>
      </c>
      <c r="C16" s="1">
        <v>56</v>
      </c>
      <c r="D16" s="1">
        <v>91</v>
      </c>
      <c r="E16" s="3" t="s">
        <v>6</v>
      </c>
      <c r="F16">
        <v>3136</v>
      </c>
      <c r="G16" t="s">
        <v>116</v>
      </c>
    </row>
    <row r="17" spans="1:7" ht="15.75" x14ac:dyDescent="0.25">
      <c r="A17" s="1">
        <v>16</v>
      </c>
      <c r="B17" s="1" t="s">
        <v>24</v>
      </c>
      <c r="C17" s="1">
        <v>38</v>
      </c>
      <c r="D17" s="1">
        <v>90</v>
      </c>
      <c r="E17" s="3" t="s">
        <v>6</v>
      </c>
      <c r="F17">
        <v>1444</v>
      </c>
      <c r="G17" t="s">
        <v>112</v>
      </c>
    </row>
    <row r="18" spans="1:7" ht="15.75" x14ac:dyDescent="0.25">
      <c r="A18" s="1">
        <v>17</v>
      </c>
      <c r="B18" s="1" t="s">
        <v>25</v>
      </c>
      <c r="C18" s="1">
        <v>100</v>
      </c>
      <c r="D18" s="1">
        <v>93</v>
      </c>
      <c r="E18" s="3" t="s">
        <v>6</v>
      </c>
      <c r="F18">
        <v>10000</v>
      </c>
    </row>
    <row r="19" spans="1:7" ht="15.75" x14ac:dyDescent="0.25">
      <c r="A19" s="1">
        <v>18</v>
      </c>
      <c r="B19" s="1" t="s">
        <v>26</v>
      </c>
      <c r="C19" s="1">
        <v>42</v>
      </c>
      <c r="D19" s="1">
        <v>92</v>
      </c>
      <c r="E19" s="3" t="s">
        <v>6</v>
      </c>
      <c r="F19">
        <v>1764</v>
      </c>
    </row>
    <row r="20" spans="1:7" ht="15.75" x14ac:dyDescent="0.25">
      <c r="A20" s="1">
        <v>19</v>
      </c>
      <c r="B20" s="1" t="s">
        <v>27</v>
      </c>
      <c r="C20" s="1">
        <v>35</v>
      </c>
      <c r="D20" s="1">
        <v>89</v>
      </c>
      <c r="E20" s="3" t="s">
        <v>14</v>
      </c>
      <c r="F20">
        <v>1225</v>
      </c>
    </row>
    <row r="21" spans="1:7" ht="15.75" x14ac:dyDescent="0.25">
      <c r="A21" s="1">
        <v>20</v>
      </c>
      <c r="B21" s="1" t="s">
        <v>28</v>
      </c>
      <c r="C21" s="1">
        <v>440</v>
      </c>
      <c r="D21" s="1">
        <v>97</v>
      </c>
      <c r="E21" s="3" t="s">
        <v>22</v>
      </c>
      <c r="F21">
        <v>193600</v>
      </c>
    </row>
    <row r="22" spans="1:7" ht="15.75" x14ac:dyDescent="0.25">
      <c r="A22" s="1">
        <v>21</v>
      </c>
      <c r="B22" s="1" t="s">
        <v>29</v>
      </c>
      <c r="C22" s="1">
        <v>39</v>
      </c>
      <c r="D22" s="1">
        <v>89</v>
      </c>
      <c r="E22" s="3" t="s">
        <v>14</v>
      </c>
      <c r="F22">
        <v>1521</v>
      </c>
    </row>
    <row r="23" spans="1:7" ht="15.75" x14ac:dyDescent="0.25">
      <c r="A23" s="1">
        <v>22</v>
      </c>
      <c r="B23" s="1" t="s">
        <v>30</v>
      </c>
      <c r="C23" s="1">
        <v>35</v>
      </c>
      <c r="D23" s="1">
        <v>87</v>
      </c>
      <c r="E23" s="3" t="s">
        <v>14</v>
      </c>
      <c r="F23">
        <v>1225</v>
      </c>
    </row>
    <row r="24" spans="1:7" ht="15.75" x14ac:dyDescent="0.25">
      <c r="A24" s="1">
        <v>23</v>
      </c>
      <c r="B24" s="1" t="s">
        <v>31</v>
      </c>
      <c r="C24" s="1">
        <v>38</v>
      </c>
      <c r="D24" s="1">
        <v>86</v>
      </c>
      <c r="E24" s="3" t="s">
        <v>14</v>
      </c>
      <c r="F24">
        <v>1444</v>
      </c>
    </row>
    <row r="25" spans="1:7" ht="15.75" x14ac:dyDescent="0.25">
      <c r="A25" s="1">
        <v>24</v>
      </c>
      <c r="B25" s="1" t="s">
        <v>32</v>
      </c>
      <c r="C25" s="1">
        <v>53</v>
      </c>
      <c r="D25" s="1">
        <v>88</v>
      </c>
      <c r="E25" s="3" t="s">
        <v>14</v>
      </c>
      <c r="F25">
        <v>2809</v>
      </c>
    </row>
    <row r="26" spans="1:7" ht="15.75" x14ac:dyDescent="0.25">
      <c r="A26" s="1">
        <v>25</v>
      </c>
      <c r="B26" s="1" t="s">
        <v>33</v>
      </c>
      <c r="C26" s="1">
        <v>20</v>
      </c>
      <c r="D26" s="1">
        <v>88</v>
      </c>
      <c r="E26" s="3" t="s">
        <v>14</v>
      </c>
      <c r="F26">
        <v>400</v>
      </c>
    </row>
    <row r="27" spans="1:7" ht="15.75" x14ac:dyDescent="0.25">
      <c r="A27" s="1">
        <v>26</v>
      </c>
      <c r="B27" s="1" t="s">
        <v>34</v>
      </c>
      <c r="C27" s="1">
        <v>25</v>
      </c>
      <c r="D27" s="1">
        <v>89</v>
      </c>
      <c r="E27" s="3" t="s">
        <v>14</v>
      </c>
      <c r="F27">
        <v>625</v>
      </c>
    </row>
    <row r="28" spans="1:7" ht="15.75" x14ac:dyDescent="0.25">
      <c r="A28" s="1">
        <v>27</v>
      </c>
      <c r="B28" s="1" t="s">
        <v>35</v>
      </c>
      <c r="C28" s="1">
        <v>20</v>
      </c>
      <c r="D28" s="1">
        <v>84</v>
      </c>
      <c r="E28" s="3" t="s">
        <v>9</v>
      </c>
      <c r="F28">
        <v>400</v>
      </c>
    </row>
    <row r="29" spans="1:7" ht="15.75" x14ac:dyDescent="0.25">
      <c r="A29" s="1">
        <v>28</v>
      </c>
      <c r="B29" s="1" t="s">
        <v>36</v>
      </c>
      <c r="C29" s="1">
        <v>29</v>
      </c>
      <c r="D29" s="1">
        <v>82</v>
      </c>
      <c r="E29" s="3" t="s">
        <v>9</v>
      </c>
      <c r="F29">
        <v>841</v>
      </c>
    </row>
    <row r="30" spans="1:7" ht="15.75" x14ac:dyDescent="0.25">
      <c r="A30" s="1">
        <v>29</v>
      </c>
      <c r="B30" s="1" t="s">
        <v>37</v>
      </c>
      <c r="C30" s="1">
        <v>90</v>
      </c>
      <c r="D30" s="1">
        <v>91</v>
      </c>
      <c r="E30" s="3" t="s">
        <v>6</v>
      </c>
      <c r="F30">
        <v>8100</v>
      </c>
    </row>
    <row r="31" spans="1:7" ht="15.75" x14ac:dyDescent="0.25">
      <c r="A31" s="1">
        <v>30</v>
      </c>
      <c r="B31" s="1" t="s">
        <v>38</v>
      </c>
      <c r="C31" s="1">
        <v>125</v>
      </c>
      <c r="D31" s="1">
        <v>91</v>
      </c>
      <c r="E31" s="3" t="s">
        <v>6</v>
      </c>
      <c r="F31">
        <v>15625</v>
      </c>
    </row>
    <row r="32" spans="1:7" ht="15.75" x14ac:dyDescent="0.25">
      <c r="A32" s="1">
        <v>31</v>
      </c>
      <c r="B32" s="1" t="s">
        <v>39</v>
      </c>
      <c r="C32" s="1">
        <v>55</v>
      </c>
      <c r="D32" s="1">
        <v>90</v>
      </c>
      <c r="E32" s="3" t="s">
        <v>6</v>
      </c>
      <c r="F32">
        <v>3025</v>
      </c>
    </row>
    <row r="33" spans="1:7" ht="15.75" x14ac:dyDescent="0.25">
      <c r="A33" s="1">
        <v>32</v>
      </c>
      <c r="B33" s="1" t="s">
        <v>40</v>
      </c>
      <c r="C33" s="1">
        <v>25</v>
      </c>
      <c r="D33" s="1">
        <v>92</v>
      </c>
      <c r="E33" s="3" t="s">
        <v>6</v>
      </c>
      <c r="F33">
        <v>625</v>
      </c>
      <c r="G33" t="s">
        <v>116</v>
      </c>
    </row>
    <row r="34" spans="1:7" ht="15.75" x14ac:dyDescent="0.25">
      <c r="A34" s="1">
        <v>33</v>
      </c>
      <c r="B34" s="1" t="s">
        <v>41</v>
      </c>
      <c r="C34" s="1">
        <v>25</v>
      </c>
      <c r="D34" s="1">
        <v>93</v>
      </c>
      <c r="E34" s="3" t="s">
        <v>6</v>
      </c>
      <c r="F34">
        <v>625</v>
      </c>
      <c r="G34" t="s">
        <v>117</v>
      </c>
    </row>
    <row r="35" spans="1:7" ht="15.75" x14ac:dyDescent="0.25">
      <c r="A35" s="1">
        <v>34</v>
      </c>
      <c r="B35" s="1" t="s">
        <v>42</v>
      </c>
      <c r="C35" s="1">
        <v>32</v>
      </c>
      <c r="D35" s="1">
        <v>89</v>
      </c>
      <c r="E35" s="3" t="s">
        <v>14</v>
      </c>
      <c r="F35">
        <v>1024</v>
      </c>
    </row>
    <row r="36" spans="1:7" ht="15.75" x14ac:dyDescent="0.25">
      <c r="A36" s="1">
        <v>35</v>
      </c>
      <c r="B36" s="1" t="s">
        <v>43</v>
      </c>
      <c r="C36" s="1">
        <v>10</v>
      </c>
      <c r="D36" s="1">
        <v>84</v>
      </c>
      <c r="E36" s="3" t="s">
        <v>9</v>
      </c>
      <c r="F36">
        <v>100</v>
      </c>
    </row>
    <row r="37" spans="1:7" ht="15.75" x14ac:dyDescent="0.25">
      <c r="A37" s="1">
        <v>36</v>
      </c>
      <c r="B37" s="1" t="s">
        <v>44</v>
      </c>
      <c r="C37" s="1">
        <v>180</v>
      </c>
      <c r="D37" s="1">
        <v>97</v>
      </c>
      <c r="E37" s="3" t="s">
        <v>22</v>
      </c>
      <c r="F37">
        <v>32400</v>
      </c>
    </row>
    <row r="38" spans="1:7" ht="15.75" x14ac:dyDescent="0.25">
      <c r="A38" s="1">
        <v>37</v>
      </c>
      <c r="B38" s="1" t="s">
        <v>45</v>
      </c>
      <c r="C38" s="1">
        <v>27</v>
      </c>
      <c r="D38" s="1">
        <v>90</v>
      </c>
      <c r="E38" s="3" t="s">
        <v>6</v>
      </c>
      <c r="F38">
        <v>729</v>
      </c>
    </row>
    <row r="39" spans="1:7" ht="15.75" x14ac:dyDescent="0.25">
      <c r="A39" s="1">
        <v>38</v>
      </c>
      <c r="B39" s="1" t="s">
        <v>46</v>
      </c>
      <c r="C39" s="1">
        <v>147</v>
      </c>
      <c r="D39" s="1">
        <v>92</v>
      </c>
      <c r="E39" s="3" t="s">
        <v>6</v>
      </c>
      <c r="F39">
        <v>21609</v>
      </c>
    </row>
    <row r="40" spans="1:7" ht="15.75" x14ac:dyDescent="0.25">
      <c r="A40" s="1">
        <v>39</v>
      </c>
      <c r="B40" s="1" t="s">
        <v>47</v>
      </c>
      <c r="C40" s="1">
        <v>38</v>
      </c>
      <c r="D40" s="1">
        <v>89</v>
      </c>
      <c r="E40" s="3" t="s">
        <v>14</v>
      </c>
      <c r="F40">
        <v>1444</v>
      </c>
    </row>
    <row r="41" spans="1:7" ht="15.75" x14ac:dyDescent="0.25">
      <c r="A41" s="1">
        <v>40</v>
      </c>
      <c r="B41" s="1" t="s">
        <v>48</v>
      </c>
      <c r="C41" s="1">
        <v>57</v>
      </c>
      <c r="D41" s="1">
        <v>89</v>
      </c>
      <c r="E41" s="3" t="s">
        <v>14</v>
      </c>
      <c r="F41">
        <v>3249</v>
      </c>
    </row>
    <row r="42" spans="1:7" ht="15.75" x14ac:dyDescent="0.25">
      <c r="A42" s="1">
        <v>41</v>
      </c>
      <c r="B42" s="1" t="s">
        <v>49</v>
      </c>
      <c r="C42" s="1">
        <v>22</v>
      </c>
      <c r="D42" s="1">
        <v>89</v>
      </c>
      <c r="E42" s="3" t="s">
        <v>14</v>
      </c>
      <c r="F42">
        <v>484</v>
      </c>
    </row>
    <row r="43" spans="1:7" ht="15.75" x14ac:dyDescent="0.25">
      <c r="A43" s="1">
        <v>42</v>
      </c>
      <c r="B43" s="1" t="s">
        <v>50</v>
      </c>
      <c r="C43" s="1">
        <v>19</v>
      </c>
      <c r="D43" s="1">
        <v>87</v>
      </c>
      <c r="E43" s="3" t="s">
        <v>14</v>
      </c>
      <c r="F43">
        <v>361</v>
      </c>
    </row>
    <row r="44" spans="1:7" ht="15.75" x14ac:dyDescent="0.25">
      <c r="A44" s="1">
        <v>43</v>
      </c>
      <c r="B44" s="1" t="s">
        <v>51</v>
      </c>
      <c r="C44" s="1">
        <v>72</v>
      </c>
      <c r="D44" s="1">
        <v>94</v>
      </c>
      <c r="E44" s="3" t="s">
        <v>6</v>
      </c>
      <c r="F44">
        <v>5184</v>
      </c>
    </row>
    <row r="45" spans="1:7" ht="15.75" x14ac:dyDescent="0.25">
      <c r="A45" s="1">
        <v>44</v>
      </c>
      <c r="B45" s="1" t="s">
        <v>52</v>
      </c>
      <c r="C45" s="1">
        <v>150</v>
      </c>
      <c r="D45" s="1">
        <v>94</v>
      </c>
      <c r="E45" s="3" t="s">
        <v>6</v>
      </c>
      <c r="F45">
        <v>22500</v>
      </c>
    </row>
    <row r="46" spans="1:7" ht="15.75" x14ac:dyDescent="0.25">
      <c r="A46" s="1">
        <v>45</v>
      </c>
      <c r="B46" s="1" t="s">
        <v>53</v>
      </c>
      <c r="C46" s="1">
        <v>60</v>
      </c>
      <c r="D46" s="1">
        <v>93</v>
      </c>
      <c r="E46" s="3" t="s">
        <v>6</v>
      </c>
      <c r="F46">
        <v>3600</v>
      </c>
    </row>
    <row r="47" spans="1:7" ht="15.75" x14ac:dyDescent="0.25">
      <c r="A47" s="1">
        <v>46</v>
      </c>
      <c r="B47" s="1" t="s">
        <v>54</v>
      </c>
      <c r="C47" s="1">
        <v>17</v>
      </c>
      <c r="D47" s="1">
        <v>88</v>
      </c>
      <c r="E47" s="3" t="s">
        <v>14</v>
      </c>
      <c r="F47">
        <v>289</v>
      </c>
    </row>
    <row r="48" spans="1:7" ht="15.75" x14ac:dyDescent="0.25">
      <c r="A48" s="1">
        <v>47</v>
      </c>
      <c r="B48" s="1" t="s">
        <v>5</v>
      </c>
      <c r="C48" s="1">
        <v>55</v>
      </c>
      <c r="D48" s="1">
        <v>88</v>
      </c>
      <c r="E48" s="3" t="s">
        <v>14</v>
      </c>
      <c r="F48">
        <v>3025</v>
      </c>
    </row>
    <row r="49" spans="1:6" ht="15.75" x14ac:dyDescent="0.25">
      <c r="A49" s="1">
        <v>48</v>
      </c>
      <c r="B49" s="1" t="s">
        <v>55</v>
      </c>
      <c r="C49" s="1">
        <v>18</v>
      </c>
      <c r="D49" s="1">
        <v>86</v>
      </c>
      <c r="E49" s="3" t="s">
        <v>14</v>
      </c>
      <c r="F49">
        <v>324</v>
      </c>
    </row>
    <row r="50" spans="1:6" ht="15.75" x14ac:dyDescent="0.25">
      <c r="A50" s="1">
        <v>49</v>
      </c>
      <c r="B50" s="1" t="s">
        <v>55</v>
      </c>
      <c r="C50" s="1">
        <v>19</v>
      </c>
      <c r="D50" s="1">
        <v>88</v>
      </c>
      <c r="E50" s="3" t="s">
        <v>14</v>
      </c>
      <c r="F50">
        <v>361</v>
      </c>
    </row>
    <row r="51" spans="1:6" ht="15.75" x14ac:dyDescent="0.25">
      <c r="A51" s="1">
        <v>50</v>
      </c>
      <c r="B51" s="1" t="s">
        <v>56</v>
      </c>
      <c r="C51" s="1">
        <v>109</v>
      </c>
      <c r="D51" s="1">
        <v>91</v>
      </c>
      <c r="E51" s="3" t="s">
        <v>6</v>
      </c>
      <c r="F51">
        <v>11881</v>
      </c>
    </row>
    <row r="52" spans="1:6" ht="15.75" x14ac:dyDescent="0.25">
      <c r="A52" s="1">
        <v>51</v>
      </c>
      <c r="B52" s="1" t="s">
        <v>57</v>
      </c>
      <c r="C52" s="1">
        <v>12</v>
      </c>
      <c r="D52" s="1">
        <v>87</v>
      </c>
      <c r="E52" s="3" t="s">
        <v>14</v>
      </c>
      <c r="F52">
        <v>144</v>
      </c>
    </row>
    <row r="53" spans="1:6" ht="15.75" x14ac:dyDescent="0.25">
      <c r="A53" s="1">
        <v>52</v>
      </c>
      <c r="B53" s="1" t="s">
        <v>58</v>
      </c>
      <c r="C53" s="1">
        <v>35</v>
      </c>
      <c r="D53" s="1">
        <v>89</v>
      </c>
      <c r="E53" s="3" t="s">
        <v>14</v>
      </c>
      <c r="F53">
        <v>1225</v>
      </c>
    </row>
    <row r="54" spans="1:6" ht="15.75" x14ac:dyDescent="0.25">
      <c r="A54" s="1">
        <v>53</v>
      </c>
      <c r="B54" s="1" t="s">
        <v>59</v>
      </c>
      <c r="C54" s="1">
        <v>20</v>
      </c>
      <c r="D54" s="1">
        <v>89</v>
      </c>
      <c r="E54" s="3" t="s">
        <v>14</v>
      </c>
      <c r="F54">
        <v>400</v>
      </c>
    </row>
    <row r="55" spans="1:6" ht="15.75" x14ac:dyDescent="0.25">
      <c r="A55" s="1">
        <v>54</v>
      </c>
      <c r="B55" s="1" t="s">
        <v>60</v>
      </c>
      <c r="C55" s="1">
        <v>210</v>
      </c>
      <c r="D55" s="1">
        <v>93</v>
      </c>
      <c r="E55" s="3" t="s">
        <v>6</v>
      </c>
      <c r="F55">
        <v>44100</v>
      </c>
    </row>
    <row r="56" spans="1:6" ht="15.75" x14ac:dyDescent="0.25">
      <c r="A56" s="1">
        <v>55</v>
      </c>
      <c r="B56" s="1" t="s">
        <v>12</v>
      </c>
      <c r="C56" s="1">
        <v>21</v>
      </c>
      <c r="D56" s="1">
        <v>78</v>
      </c>
      <c r="E56" s="3" t="s">
        <v>61</v>
      </c>
      <c r="F56">
        <v>441</v>
      </c>
    </row>
    <row r="57" spans="1:6" ht="15.75" x14ac:dyDescent="0.25">
      <c r="A57" s="1">
        <v>56</v>
      </c>
      <c r="B57" s="1" t="s">
        <v>5</v>
      </c>
      <c r="C57" s="1">
        <v>37</v>
      </c>
      <c r="D57" s="1">
        <v>93</v>
      </c>
      <c r="E57" s="3" t="s">
        <v>6</v>
      </c>
      <c r="F57">
        <v>1369</v>
      </c>
    </row>
    <row r="58" spans="1:6" ht="15.75" x14ac:dyDescent="0.25">
      <c r="A58" s="1">
        <v>57</v>
      </c>
      <c r="B58" s="1" t="s">
        <v>62</v>
      </c>
      <c r="C58" s="1">
        <v>16</v>
      </c>
      <c r="D58" s="1">
        <v>89</v>
      </c>
      <c r="E58" s="3" t="s">
        <v>14</v>
      </c>
      <c r="F58">
        <v>256</v>
      </c>
    </row>
    <row r="59" spans="1:6" ht="15.75" x14ac:dyDescent="0.25">
      <c r="A59" s="1">
        <v>58</v>
      </c>
      <c r="B59" s="1" t="s">
        <v>63</v>
      </c>
      <c r="C59" s="1">
        <v>58</v>
      </c>
      <c r="D59" s="1">
        <v>88</v>
      </c>
      <c r="E59" s="3" t="s">
        <v>14</v>
      </c>
      <c r="F59">
        <v>3364</v>
      </c>
    </row>
    <row r="60" spans="1:6" ht="15.75" x14ac:dyDescent="0.25">
      <c r="A60" s="1">
        <v>59</v>
      </c>
      <c r="B60" s="1" t="s">
        <v>64</v>
      </c>
      <c r="C60" s="1">
        <v>75</v>
      </c>
      <c r="D60" s="1">
        <v>92</v>
      </c>
      <c r="E60" s="3" t="s">
        <v>6</v>
      </c>
      <c r="F60">
        <v>5625</v>
      </c>
    </row>
    <row r="61" spans="1:6" ht="15.75" x14ac:dyDescent="0.25">
      <c r="A61" s="1">
        <v>60</v>
      </c>
      <c r="B61" s="1" t="s">
        <v>65</v>
      </c>
      <c r="C61" s="1">
        <v>39</v>
      </c>
      <c r="D61" s="1">
        <v>88</v>
      </c>
      <c r="E61" s="3" t="s">
        <v>14</v>
      </c>
      <c r="F61">
        <v>1521</v>
      </c>
    </row>
    <row r="62" spans="1:6" ht="15.75" x14ac:dyDescent="0.25">
      <c r="A62" s="1">
        <v>61</v>
      </c>
      <c r="B62" s="1" t="s">
        <v>66</v>
      </c>
      <c r="C62" s="1">
        <v>300</v>
      </c>
      <c r="D62" s="1">
        <v>96</v>
      </c>
      <c r="E62" s="3" t="s">
        <v>22</v>
      </c>
      <c r="F62">
        <v>90000</v>
      </c>
    </row>
    <row r="63" spans="1:6" ht="15.75" x14ac:dyDescent="0.25">
      <c r="A63" s="1">
        <v>62</v>
      </c>
      <c r="B63" s="1" t="s">
        <v>60</v>
      </c>
      <c r="C63" s="1">
        <v>35</v>
      </c>
      <c r="D63" s="1">
        <v>90</v>
      </c>
      <c r="E63" s="3" t="s">
        <v>6</v>
      </c>
      <c r="F63">
        <v>1225</v>
      </c>
    </row>
    <row r="64" spans="1:6" ht="15.75" x14ac:dyDescent="0.25">
      <c r="A64" s="1">
        <v>63</v>
      </c>
      <c r="B64" s="1" t="s">
        <v>59</v>
      </c>
      <c r="C64" s="1">
        <v>22</v>
      </c>
      <c r="D64" s="1">
        <v>90</v>
      </c>
      <c r="E64" s="3" t="s">
        <v>6</v>
      </c>
      <c r="F64">
        <v>484</v>
      </c>
    </row>
    <row r="65" spans="1:6" ht="15.75" x14ac:dyDescent="0.25">
      <c r="A65" s="1">
        <v>64</v>
      </c>
      <c r="B65" s="1" t="s">
        <v>5</v>
      </c>
      <c r="C65" s="1">
        <v>90</v>
      </c>
      <c r="D65" s="1">
        <v>92</v>
      </c>
      <c r="E65" s="3" t="s">
        <v>6</v>
      </c>
      <c r="F65">
        <v>8100</v>
      </c>
    </row>
    <row r="66" spans="1:6" ht="15.75" x14ac:dyDescent="0.25">
      <c r="A66" s="1">
        <v>65</v>
      </c>
      <c r="B66" s="1" t="s">
        <v>67</v>
      </c>
      <c r="C66" s="1">
        <v>95</v>
      </c>
      <c r="D66" s="1">
        <v>93</v>
      </c>
      <c r="E66" s="3" t="s">
        <v>6</v>
      </c>
      <c r="F66">
        <v>9025</v>
      </c>
    </row>
    <row r="67" spans="1:6" ht="15.75" x14ac:dyDescent="0.25">
      <c r="A67" s="1">
        <v>66</v>
      </c>
      <c r="B67" s="1" t="s">
        <v>68</v>
      </c>
      <c r="C67" s="1">
        <v>21</v>
      </c>
      <c r="D67" s="1">
        <v>89</v>
      </c>
      <c r="E67" s="3" t="s">
        <v>14</v>
      </c>
      <c r="F67">
        <v>441</v>
      </c>
    </row>
    <row r="68" spans="1:6" ht="15.75" x14ac:dyDescent="0.25">
      <c r="A68" s="1">
        <v>67</v>
      </c>
      <c r="B68" s="1" t="s">
        <v>69</v>
      </c>
      <c r="C68" s="1">
        <v>10</v>
      </c>
      <c r="D68" s="1">
        <v>83</v>
      </c>
      <c r="E68" s="3" t="s">
        <v>9</v>
      </c>
      <c r="F68">
        <v>100</v>
      </c>
    </row>
    <row r="69" spans="1:6" ht="15.75" x14ac:dyDescent="0.25">
      <c r="A69" s="1">
        <v>68</v>
      </c>
      <c r="B69" s="1" t="s">
        <v>70</v>
      </c>
      <c r="C69" s="1">
        <v>25</v>
      </c>
      <c r="D69" s="1">
        <v>86</v>
      </c>
      <c r="E69" s="3" t="s">
        <v>14</v>
      </c>
      <c r="F69">
        <v>625</v>
      </c>
    </row>
    <row r="70" spans="1:6" ht="15.75" x14ac:dyDescent="0.25">
      <c r="A70" s="1">
        <v>69</v>
      </c>
      <c r="B70" s="1" t="s">
        <v>71</v>
      </c>
      <c r="C70" s="1">
        <v>29</v>
      </c>
      <c r="D70" s="1">
        <v>90</v>
      </c>
      <c r="E70" s="3" t="s">
        <v>6</v>
      </c>
      <c r="F70">
        <v>841</v>
      </c>
    </row>
    <row r="71" spans="1:6" ht="15.75" x14ac:dyDescent="0.25">
      <c r="A71" s="1">
        <v>70</v>
      </c>
      <c r="B71" s="1" t="s">
        <v>72</v>
      </c>
      <c r="C71" s="1">
        <v>23</v>
      </c>
      <c r="D71" s="1">
        <v>89</v>
      </c>
      <c r="E71" s="3" t="s">
        <v>14</v>
      </c>
      <c r="F71">
        <v>529</v>
      </c>
    </row>
    <row r="72" spans="1:6" ht="15.75" x14ac:dyDescent="0.25">
      <c r="A72" s="1">
        <v>71</v>
      </c>
      <c r="B72" s="1" t="s">
        <v>73</v>
      </c>
      <c r="C72" s="1">
        <v>90</v>
      </c>
      <c r="D72" s="1">
        <v>96</v>
      </c>
      <c r="E72" s="3" t="s">
        <v>22</v>
      </c>
      <c r="F72">
        <v>8100</v>
      </c>
    </row>
    <row r="73" spans="1:6" ht="15.75" x14ac:dyDescent="0.25">
      <c r="A73" s="1">
        <v>72</v>
      </c>
      <c r="B73" s="1" t="s">
        <v>59</v>
      </c>
      <c r="C73" s="1">
        <v>18</v>
      </c>
      <c r="D73" s="1">
        <v>88</v>
      </c>
      <c r="E73" s="3" t="s">
        <v>14</v>
      </c>
      <c r="F73">
        <v>324</v>
      </c>
    </row>
    <row r="74" spans="1:6" ht="15.75" x14ac:dyDescent="0.25">
      <c r="A74" s="1">
        <v>73</v>
      </c>
      <c r="B74" s="1" t="s">
        <v>74</v>
      </c>
      <c r="C74" s="1">
        <v>54</v>
      </c>
      <c r="D74" s="1">
        <v>89</v>
      </c>
      <c r="E74" s="3" t="s">
        <v>14</v>
      </c>
      <c r="F74">
        <v>2916</v>
      </c>
    </row>
    <row r="75" spans="1:6" ht="15.75" x14ac:dyDescent="0.25">
      <c r="A75" s="1">
        <v>74</v>
      </c>
      <c r="B75" s="1" t="s">
        <v>75</v>
      </c>
      <c r="C75" s="1">
        <v>62</v>
      </c>
      <c r="D75" s="1">
        <v>96</v>
      </c>
      <c r="E75" s="3" t="s">
        <v>22</v>
      </c>
      <c r="F75">
        <v>3844</v>
      </c>
    </row>
    <row r="76" spans="1:6" ht="15.75" x14ac:dyDescent="0.25">
      <c r="A76" s="1">
        <v>75</v>
      </c>
      <c r="B76" s="1" t="s">
        <v>76</v>
      </c>
      <c r="C76" s="1">
        <v>21</v>
      </c>
      <c r="D76" s="1">
        <v>88</v>
      </c>
      <c r="E76" s="3" t="s">
        <v>14</v>
      </c>
      <c r="F76">
        <v>441</v>
      </c>
    </row>
    <row r="77" spans="1:6" ht="15.75" x14ac:dyDescent="0.25">
      <c r="A77" s="1">
        <v>76</v>
      </c>
      <c r="B77" s="1" t="s">
        <v>77</v>
      </c>
      <c r="C77" s="1">
        <v>37</v>
      </c>
      <c r="D77" s="1">
        <v>88</v>
      </c>
      <c r="E77" s="3" t="s">
        <v>14</v>
      </c>
      <c r="F77">
        <v>1369</v>
      </c>
    </row>
    <row r="78" spans="1:6" ht="15.75" x14ac:dyDescent="0.25">
      <c r="A78" s="1">
        <v>77</v>
      </c>
      <c r="B78" s="1" t="s">
        <v>78</v>
      </c>
      <c r="C78" s="1">
        <v>24</v>
      </c>
      <c r="D78" s="1">
        <v>86</v>
      </c>
      <c r="E78" s="3" t="s">
        <v>14</v>
      </c>
      <c r="F78">
        <v>576</v>
      </c>
    </row>
    <row r="79" spans="1:6" ht="15.75" x14ac:dyDescent="0.25">
      <c r="A79" s="1">
        <v>78</v>
      </c>
      <c r="B79" s="1" t="s">
        <v>5</v>
      </c>
      <c r="C79" s="1">
        <v>52</v>
      </c>
      <c r="D79" s="1">
        <v>91</v>
      </c>
      <c r="E79" s="3" t="s">
        <v>6</v>
      </c>
      <c r="F79">
        <v>2704</v>
      </c>
    </row>
    <row r="80" spans="1:6" ht="15.75" x14ac:dyDescent="0.25">
      <c r="A80" s="1">
        <v>79</v>
      </c>
      <c r="B80" s="1" t="s">
        <v>79</v>
      </c>
      <c r="C80" s="1">
        <v>55</v>
      </c>
      <c r="D80" s="1">
        <v>88</v>
      </c>
      <c r="E80" s="3" t="s">
        <v>14</v>
      </c>
      <c r="F80">
        <v>3025</v>
      </c>
    </row>
    <row r="81" spans="1:6" ht="15.75" x14ac:dyDescent="0.25">
      <c r="A81" s="1">
        <v>80</v>
      </c>
      <c r="B81" s="1" t="s">
        <v>80</v>
      </c>
      <c r="C81" s="1">
        <v>440</v>
      </c>
      <c r="D81" s="1">
        <v>95</v>
      </c>
      <c r="E81" s="3" t="s">
        <v>22</v>
      </c>
      <c r="F81">
        <v>193600</v>
      </c>
    </row>
    <row r="82" spans="1:6" ht="15.75" x14ac:dyDescent="0.25">
      <c r="A82" s="1">
        <v>81</v>
      </c>
      <c r="B82" s="1" t="s">
        <v>81</v>
      </c>
      <c r="C82" s="1">
        <v>105</v>
      </c>
      <c r="D82" s="1">
        <v>90</v>
      </c>
      <c r="E82" s="3" t="s">
        <v>6</v>
      </c>
      <c r="F82">
        <v>11025</v>
      </c>
    </row>
    <row r="83" spans="1:6" ht="15.75" x14ac:dyDescent="0.25">
      <c r="A83" s="1">
        <v>82</v>
      </c>
      <c r="B83" s="1" t="s">
        <v>82</v>
      </c>
      <c r="C83" s="1">
        <v>40</v>
      </c>
      <c r="D83" s="1">
        <v>89</v>
      </c>
      <c r="E83" s="3" t="s">
        <v>14</v>
      </c>
      <c r="F83">
        <v>1600</v>
      </c>
    </row>
    <row r="84" spans="1:6" ht="15.75" x14ac:dyDescent="0.25">
      <c r="A84" s="1">
        <v>83</v>
      </c>
      <c r="B84" s="1" t="s">
        <v>83</v>
      </c>
      <c r="C84" s="1">
        <v>120</v>
      </c>
      <c r="D84" s="1">
        <v>92</v>
      </c>
      <c r="E84" s="3" t="s">
        <v>6</v>
      </c>
      <c r="F84">
        <v>14400</v>
      </c>
    </row>
    <row r="85" spans="1:6" ht="15.75" x14ac:dyDescent="0.25">
      <c r="A85" s="1">
        <v>84</v>
      </c>
      <c r="B85" s="1" t="s">
        <v>84</v>
      </c>
      <c r="C85" s="1">
        <v>26</v>
      </c>
      <c r="D85" s="1">
        <v>90</v>
      </c>
      <c r="E85" s="3" t="s">
        <v>6</v>
      </c>
      <c r="F85">
        <v>676</v>
      </c>
    </row>
    <row r="86" spans="1:6" ht="15.75" x14ac:dyDescent="0.25">
      <c r="A86" s="1">
        <v>85</v>
      </c>
      <c r="B86" s="1" t="s">
        <v>85</v>
      </c>
      <c r="C86" s="1">
        <v>28</v>
      </c>
      <c r="D86" s="1">
        <v>88</v>
      </c>
      <c r="E86" s="3" t="s">
        <v>14</v>
      </c>
      <c r="F86">
        <v>784</v>
      </c>
    </row>
    <row r="87" spans="1:6" ht="15.75" x14ac:dyDescent="0.25">
      <c r="A87" s="1">
        <v>86</v>
      </c>
      <c r="B87" s="1" t="s">
        <v>86</v>
      </c>
      <c r="C87" s="1">
        <v>150</v>
      </c>
      <c r="D87" s="1">
        <v>93</v>
      </c>
      <c r="E87" s="3" t="s">
        <v>6</v>
      </c>
      <c r="F87">
        <v>22500</v>
      </c>
    </row>
    <row r="88" spans="1:6" ht="15.75" x14ac:dyDescent="0.25">
      <c r="A88" s="1">
        <v>87</v>
      </c>
      <c r="B88" s="1" t="s">
        <v>5</v>
      </c>
      <c r="C88" s="1">
        <v>37</v>
      </c>
      <c r="D88" s="1">
        <v>91</v>
      </c>
      <c r="E88" s="3" t="s">
        <v>6</v>
      </c>
      <c r="F88">
        <v>1369</v>
      </c>
    </row>
    <row r="89" spans="1:6" ht="15.75" x14ac:dyDescent="0.25">
      <c r="A89" s="1">
        <v>88</v>
      </c>
      <c r="B89" s="1" t="s">
        <v>87</v>
      </c>
      <c r="C89" s="1">
        <v>43</v>
      </c>
      <c r="D89" s="1">
        <v>89</v>
      </c>
      <c r="E89" s="3" t="s">
        <v>14</v>
      </c>
      <c r="F89">
        <v>1849</v>
      </c>
    </row>
    <row r="90" spans="1:6" ht="15.75" x14ac:dyDescent="0.25">
      <c r="A90" s="1">
        <v>89</v>
      </c>
      <c r="B90" s="1" t="s">
        <v>88</v>
      </c>
      <c r="C90" s="1">
        <v>120</v>
      </c>
      <c r="D90" s="1">
        <v>91</v>
      </c>
      <c r="E90" s="3" t="s">
        <v>6</v>
      </c>
      <c r="F90">
        <v>14400</v>
      </c>
    </row>
    <row r="91" spans="1:6" ht="15.75" x14ac:dyDescent="0.25">
      <c r="A91" s="1">
        <v>90</v>
      </c>
      <c r="B91" s="1" t="s">
        <v>89</v>
      </c>
      <c r="C91" s="1">
        <v>25</v>
      </c>
      <c r="D91" s="1">
        <v>87</v>
      </c>
      <c r="E91" s="3" t="s">
        <v>14</v>
      </c>
      <c r="F91">
        <v>625</v>
      </c>
    </row>
    <row r="92" spans="1:6" ht="15.75" x14ac:dyDescent="0.25">
      <c r="A92" s="1">
        <v>91</v>
      </c>
      <c r="B92" s="1" t="s">
        <v>90</v>
      </c>
      <c r="C92" s="1">
        <v>25</v>
      </c>
      <c r="D92" s="1">
        <v>88</v>
      </c>
      <c r="E92" s="3" t="s">
        <v>14</v>
      </c>
      <c r="F92">
        <v>625</v>
      </c>
    </row>
    <row r="93" spans="1:6" ht="15.75" x14ac:dyDescent="0.25">
      <c r="A93" s="1">
        <v>92</v>
      </c>
      <c r="B93" s="1" t="s">
        <v>91</v>
      </c>
      <c r="C93" s="1">
        <v>40</v>
      </c>
      <c r="D93" s="1">
        <v>90</v>
      </c>
      <c r="E93" s="3" t="s">
        <v>6</v>
      </c>
      <c r="F93">
        <v>1600</v>
      </c>
    </row>
    <row r="94" spans="1:6" ht="15.75" x14ac:dyDescent="0.25">
      <c r="A94" s="1">
        <v>93</v>
      </c>
      <c r="B94" s="1" t="s">
        <v>92</v>
      </c>
      <c r="C94" s="1">
        <v>57</v>
      </c>
      <c r="D94" s="1">
        <v>90</v>
      </c>
      <c r="E94" s="3" t="s">
        <v>6</v>
      </c>
      <c r="F94">
        <v>3249</v>
      </c>
    </row>
    <row r="95" spans="1:6" ht="15.75" x14ac:dyDescent="0.25">
      <c r="A95" s="1">
        <v>94</v>
      </c>
      <c r="B95" s="1" t="s">
        <v>93</v>
      </c>
      <c r="C95" s="1">
        <v>27</v>
      </c>
      <c r="D95" s="1">
        <v>89</v>
      </c>
      <c r="E95" s="3" t="s">
        <v>14</v>
      </c>
      <c r="F95">
        <v>729</v>
      </c>
    </row>
    <row r="96" spans="1:6" ht="15.75" x14ac:dyDescent="0.25">
      <c r="A96" s="1">
        <v>95</v>
      </c>
      <c r="B96" s="1" t="s">
        <v>94</v>
      </c>
      <c r="C96" s="1">
        <v>19</v>
      </c>
      <c r="D96" s="1">
        <v>88</v>
      </c>
      <c r="E96" s="3" t="s">
        <v>14</v>
      </c>
      <c r="F96">
        <v>361</v>
      </c>
    </row>
    <row r="97" spans="1:6" ht="15.75" x14ac:dyDescent="0.25">
      <c r="A97" s="1">
        <v>96</v>
      </c>
      <c r="B97" s="1" t="s">
        <v>95</v>
      </c>
      <c r="C97" s="1">
        <v>15</v>
      </c>
      <c r="D97" s="1">
        <v>87</v>
      </c>
      <c r="E97" s="3" t="s">
        <v>14</v>
      </c>
      <c r="F97">
        <v>225</v>
      </c>
    </row>
    <row r="98" spans="1:6" ht="15.75" x14ac:dyDescent="0.25">
      <c r="A98" s="1">
        <v>97</v>
      </c>
      <c r="B98" s="1" t="s">
        <v>96</v>
      </c>
      <c r="C98" s="1">
        <v>13</v>
      </c>
      <c r="D98" s="1">
        <v>88</v>
      </c>
      <c r="E98" s="3" t="s">
        <v>14</v>
      </c>
      <c r="F98">
        <v>169</v>
      </c>
    </row>
    <row r="99" spans="1:6" ht="15.75" x14ac:dyDescent="0.25">
      <c r="A99" s="1">
        <v>98</v>
      </c>
      <c r="B99" s="1" t="s">
        <v>97</v>
      </c>
      <c r="C99" s="1">
        <v>69</v>
      </c>
      <c r="D99" s="1">
        <v>92</v>
      </c>
      <c r="E99" s="3" t="s">
        <v>6</v>
      </c>
      <c r="F99">
        <v>4761</v>
      </c>
    </row>
    <row r="100" spans="1:6" ht="15.75" x14ac:dyDescent="0.25">
      <c r="A100" s="1">
        <v>99</v>
      </c>
      <c r="B100" s="1" t="s">
        <v>94</v>
      </c>
      <c r="C100" s="1">
        <v>13</v>
      </c>
      <c r="D100" s="1">
        <v>87</v>
      </c>
      <c r="E100" s="3" t="s">
        <v>14</v>
      </c>
      <c r="F100">
        <v>169</v>
      </c>
    </row>
    <row r="101" spans="1:6" ht="15.75" x14ac:dyDescent="0.25">
      <c r="A101" s="1">
        <v>100</v>
      </c>
      <c r="B101" s="1" t="s">
        <v>98</v>
      </c>
      <c r="C101" s="1">
        <v>50</v>
      </c>
      <c r="D101" s="1">
        <v>87</v>
      </c>
      <c r="E101" s="3" t="s">
        <v>14</v>
      </c>
      <c r="F101">
        <v>2500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2925-3D91-4FEC-88FF-41EA9552C412}">
  <dimension ref="A1:AI13"/>
  <sheetViews>
    <sheetView workbookViewId="0"/>
  </sheetViews>
  <sheetFormatPr defaultRowHeight="15" x14ac:dyDescent="0.25"/>
  <cols>
    <col min="1" max="1" width="169.7109375" bestFit="1" customWidth="1"/>
  </cols>
  <sheetData>
    <row r="1" spans="1:35" ht="30" customHeight="1" x14ac:dyDescent="0.25">
      <c r="A1" s="7" t="s">
        <v>118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x14ac:dyDescent="0.25">
      <c r="A2" s="7"/>
      <c r="B2" s="7"/>
      <c r="C2" s="7"/>
      <c r="D2" s="7"/>
      <c r="E2" s="7"/>
      <c r="F2" s="7"/>
      <c r="G2" s="7"/>
      <c r="H2" s="7"/>
    </row>
    <row r="3" spans="1:35" x14ac:dyDescent="0.25">
      <c r="A3" s="7"/>
      <c r="B3" s="7"/>
      <c r="C3" s="7"/>
      <c r="D3" s="7"/>
      <c r="E3" s="7"/>
      <c r="F3" s="7"/>
      <c r="G3" s="7"/>
      <c r="H3" s="7"/>
    </row>
    <row r="4" spans="1:35" x14ac:dyDescent="0.25">
      <c r="A4" s="7"/>
      <c r="B4" s="7"/>
      <c r="C4" s="7"/>
      <c r="D4" s="7"/>
      <c r="E4" s="7"/>
      <c r="F4" s="7"/>
      <c r="G4" s="7"/>
      <c r="H4" s="7"/>
    </row>
    <row r="5" spans="1:35" x14ac:dyDescent="0.25">
      <c r="A5" s="7"/>
      <c r="B5" s="7"/>
      <c r="C5" s="7"/>
      <c r="D5" s="7"/>
      <c r="E5" s="7"/>
      <c r="F5" s="7"/>
      <c r="G5" s="7"/>
      <c r="H5" s="7"/>
    </row>
    <row r="6" spans="1:35" x14ac:dyDescent="0.25">
      <c r="A6" s="7"/>
      <c r="B6" s="7"/>
      <c r="C6" s="7"/>
      <c r="D6" s="7"/>
      <c r="E6" s="7"/>
      <c r="F6" s="7"/>
      <c r="G6" s="7"/>
      <c r="H6" s="7"/>
    </row>
    <row r="7" spans="1:35" x14ac:dyDescent="0.25">
      <c r="A7" s="7"/>
      <c r="B7" s="7"/>
      <c r="C7" s="7"/>
      <c r="D7" s="7"/>
      <c r="E7" s="7"/>
      <c r="F7" s="7"/>
      <c r="G7" s="7"/>
      <c r="H7" s="7"/>
    </row>
    <row r="8" spans="1:35" x14ac:dyDescent="0.25">
      <c r="A8" s="7"/>
      <c r="B8" s="7"/>
      <c r="C8" s="7"/>
      <c r="D8" s="7"/>
      <c r="E8" s="7"/>
      <c r="F8" s="7"/>
      <c r="G8" s="7"/>
      <c r="H8" s="7"/>
    </row>
    <row r="9" spans="1:35" x14ac:dyDescent="0.25">
      <c r="A9" s="7"/>
      <c r="B9" s="7"/>
      <c r="C9" s="7"/>
      <c r="D9" s="7"/>
      <c r="E9" s="7"/>
      <c r="F9" s="7"/>
      <c r="G9" s="7"/>
      <c r="H9" s="7"/>
    </row>
    <row r="10" spans="1:35" x14ac:dyDescent="0.25">
      <c r="A10" s="7"/>
      <c r="B10" s="7"/>
      <c r="C10" s="7"/>
      <c r="D10" s="7"/>
      <c r="E10" s="7"/>
      <c r="F10" s="7"/>
      <c r="G10" s="7"/>
      <c r="H10" s="7"/>
    </row>
    <row r="11" spans="1:35" x14ac:dyDescent="0.25">
      <c r="A11" s="7"/>
      <c r="B11" s="7"/>
      <c r="C11" s="7"/>
      <c r="D11" s="7"/>
      <c r="E11" s="7"/>
      <c r="F11" s="7"/>
      <c r="G11" s="7"/>
      <c r="H11" s="7"/>
    </row>
    <row r="12" spans="1:35" x14ac:dyDescent="0.25">
      <c r="A12" s="7"/>
      <c r="B12" s="7"/>
      <c r="C12" s="7"/>
      <c r="D12" s="7"/>
      <c r="E12" s="7"/>
      <c r="F12" s="7"/>
      <c r="G12" s="7"/>
      <c r="H12" s="7"/>
    </row>
    <row r="13" spans="1:35" x14ac:dyDescent="0.25">
      <c r="A13" s="7"/>
      <c r="B13" s="7"/>
      <c r="C13" s="7"/>
      <c r="D13" s="7"/>
      <c r="E13" s="7"/>
      <c r="F13" s="7"/>
      <c r="G13" s="7"/>
      <c r="H1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8452-F2B0-4714-8E3B-799297760E6F}">
  <dimension ref="A1:I101"/>
  <sheetViews>
    <sheetView workbookViewId="0">
      <selection activeCell="Q31" sqref="Q31"/>
    </sheetView>
  </sheetViews>
  <sheetFormatPr defaultRowHeight="15" x14ac:dyDescent="0.25"/>
  <cols>
    <col min="7" max="7" width="10.42578125" bestFit="1" customWidth="1"/>
    <col min="9" max="9" width="92.85546875" bestFit="1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114</v>
      </c>
      <c r="G1" s="4" t="s">
        <v>119</v>
      </c>
    </row>
    <row r="2" spans="1:7" ht="15.75" x14ac:dyDescent="0.25">
      <c r="A2" s="1">
        <v>1</v>
      </c>
      <c r="B2" s="1" t="s">
        <v>5</v>
      </c>
      <c r="C2" s="1">
        <v>52</v>
      </c>
      <c r="D2" s="1">
        <v>91</v>
      </c>
      <c r="E2" s="3" t="s">
        <v>6</v>
      </c>
      <c r="F2" cm="1">
        <f t="array" ref="F2:F101">(C2:C101)^2</f>
        <v>2704</v>
      </c>
      <c r="G2" cm="1">
        <f t="array" ref="G2:G101">LN(C2:C101)</f>
        <v>3.9512437185814275</v>
      </c>
    </row>
    <row r="3" spans="1:7" ht="15.75" x14ac:dyDescent="0.25">
      <c r="A3" s="1">
        <v>2</v>
      </c>
      <c r="B3" s="1" t="s">
        <v>7</v>
      </c>
      <c r="C3" s="1">
        <v>30</v>
      </c>
      <c r="D3" s="1">
        <v>90</v>
      </c>
      <c r="E3" s="3" t="s">
        <v>6</v>
      </c>
      <c r="F3">
        <v>900</v>
      </c>
      <c r="G3">
        <v>3.4011973816621555</v>
      </c>
    </row>
    <row r="4" spans="1:7" ht="15.75" x14ac:dyDescent="0.25">
      <c r="A4" s="1">
        <v>3</v>
      </c>
      <c r="B4" s="1" t="s">
        <v>8</v>
      </c>
      <c r="C4" s="1">
        <v>10</v>
      </c>
      <c r="D4" s="1">
        <v>80</v>
      </c>
      <c r="E4" s="3" t="s">
        <v>9</v>
      </c>
      <c r="F4">
        <v>100</v>
      </c>
      <c r="G4">
        <v>2.3025850929940459</v>
      </c>
    </row>
    <row r="5" spans="1:7" ht="15.75" x14ac:dyDescent="0.25">
      <c r="A5" s="1">
        <v>4</v>
      </c>
      <c r="B5" s="1" t="s">
        <v>10</v>
      </c>
      <c r="C5" s="1">
        <v>120</v>
      </c>
      <c r="D5" s="1">
        <v>93</v>
      </c>
      <c r="E5" s="3" t="s">
        <v>6</v>
      </c>
      <c r="F5">
        <v>14400</v>
      </c>
      <c r="G5">
        <v>4.7874917427820458</v>
      </c>
    </row>
    <row r="6" spans="1:7" ht="15.75" x14ac:dyDescent="0.25">
      <c r="A6" s="1">
        <v>5</v>
      </c>
      <c r="B6" s="1" t="s">
        <v>11</v>
      </c>
      <c r="C6" s="1">
        <v>75</v>
      </c>
      <c r="D6" s="1">
        <v>91</v>
      </c>
      <c r="E6" s="3" t="s">
        <v>6</v>
      </c>
      <c r="F6">
        <v>5625</v>
      </c>
      <c r="G6">
        <v>4.3174881135363101</v>
      </c>
    </row>
    <row r="7" spans="1:7" ht="15.75" x14ac:dyDescent="0.25">
      <c r="A7" s="1">
        <v>6</v>
      </c>
      <c r="B7" s="1" t="s">
        <v>12</v>
      </c>
      <c r="C7" s="1">
        <v>20</v>
      </c>
      <c r="D7" s="1">
        <v>83</v>
      </c>
      <c r="E7" s="3" t="s">
        <v>9</v>
      </c>
      <c r="F7">
        <v>400</v>
      </c>
      <c r="G7">
        <v>2.9957322735539909</v>
      </c>
    </row>
    <row r="8" spans="1:7" ht="15.75" x14ac:dyDescent="0.25">
      <c r="A8" s="1">
        <v>7</v>
      </c>
      <c r="B8" s="1" t="s">
        <v>13</v>
      </c>
      <c r="C8" s="1">
        <v>39</v>
      </c>
      <c r="D8" s="1">
        <v>87</v>
      </c>
      <c r="E8" s="3" t="s">
        <v>14</v>
      </c>
      <c r="F8">
        <v>1521</v>
      </c>
      <c r="G8">
        <v>3.6635616461296463</v>
      </c>
    </row>
    <row r="9" spans="1:7" ht="15.75" x14ac:dyDescent="0.25">
      <c r="A9" s="1">
        <v>8</v>
      </c>
      <c r="B9" s="1" t="s">
        <v>15</v>
      </c>
      <c r="C9" s="1">
        <v>50</v>
      </c>
      <c r="D9" s="1">
        <v>91</v>
      </c>
      <c r="E9" s="3" t="s">
        <v>6</v>
      </c>
      <c r="F9">
        <v>2500</v>
      </c>
      <c r="G9">
        <v>3.912023005428146</v>
      </c>
    </row>
    <row r="10" spans="1:7" ht="15.75" x14ac:dyDescent="0.25">
      <c r="A10" s="1">
        <v>9</v>
      </c>
      <c r="B10" s="1" t="s">
        <v>16</v>
      </c>
      <c r="C10" s="1">
        <v>18</v>
      </c>
      <c r="D10" s="1">
        <v>87</v>
      </c>
      <c r="E10" s="3" t="s">
        <v>14</v>
      </c>
      <c r="F10">
        <v>324</v>
      </c>
      <c r="G10">
        <v>2.8903717578961645</v>
      </c>
    </row>
    <row r="11" spans="1:7" ht="15.75" x14ac:dyDescent="0.25">
      <c r="A11" s="1">
        <v>10</v>
      </c>
      <c r="B11" s="1" t="s">
        <v>17</v>
      </c>
      <c r="C11" s="1">
        <v>31</v>
      </c>
      <c r="D11" s="1">
        <v>88</v>
      </c>
      <c r="E11" s="3" t="s">
        <v>14</v>
      </c>
      <c r="F11">
        <v>961</v>
      </c>
      <c r="G11">
        <v>3.4339872044851463</v>
      </c>
    </row>
    <row r="12" spans="1:7" ht="15.75" x14ac:dyDescent="0.25">
      <c r="A12" s="1">
        <v>11</v>
      </c>
      <c r="B12" s="1" t="s">
        <v>18</v>
      </c>
      <c r="C12" s="1">
        <v>18</v>
      </c>
      <c r="D12" s="1">
        <v>84</v>
      </c>
      <c r="E12" s="3" t="s">
        <v>9</v>
      </c>
      <c r="F12">
        <v>324</v>
      </c>
      <c r="G12">
        <v>2.8903717578961645</v>
      </c>
    </row>
    <row r="13" spans="1:7" ht="15.75" x14ac:dyDescent="0.25">
      <c r="A13" s="1">
        <v>12</v>
      </c>
      <c r="B13" s="1" t="s">
        <v>19</v>
      </c>
      <c r="C13" s="1">
        <v>48</v>
      </c>
      <c r="D13" s="1">
        <v>93</v>
      </c>
      <c r="E13" s="3" t="s">
        <v>6</v>
      </c>
      <c r="F13">
        <v>2304</v>
      </c>
      <c r="G13">
        <v>3.8712010109078911</v>
      </c>
    </row>
    <row r="14" spans="1:7" ht="15.75" x14ac:dyDescent="0.25">
      <c r="A14" s="1">
        <v>13</v>
      </c>
      <c r="B14" s="1" t="s">
        <v>20</v>
      </c>
      <c r="C14" s="1">
        <v>55</v>
      </c>
      <c r="D14" s="1">
        <v>92</v>
      </c>
      <c r="E14" s="3" t="s">
        <v>6</v>
      </c>
      <c r="F14">
        <v>3025</v>
      </c>
      <c r="G14">
        <v>4.0073331852324712</v>
      </c>
    </row>
    <row r="15" spans="1:7" ht="15.75" x14ac:dyDescent="0.25">
      <c r="A15" s="1">
        <v>14</v>
      </c>
      <c r="B15" s="1" t="s">
        <v>21</v>
      </c>
      <c r="C15" s="1">
        <v>375</v>
      </c>
      <c r="D15" s="1">
        <v>98</v>
      </c>
      <c r="E15" s="3" t="s">
        <v>22</v>
      </c>
      <c r="F15">
        <v>140625</v>
      </c>
      <c r="G15">
        <v>5.9269260259704106</v>
      </c>
    </row>
    <row r="16" spans="1:7" ht="15.75" x14ac:dyDescent="0.25">
      <c r="A16" s="1">
        <v>15</v>
      </c>
      <c r="B16" s="1" t="s">
        <v>23</v>
      </c>
      <c r="C16" s="1">
        <v>56</v>
      </c>
      <c r="D16" s="1">
        <v>91</v>
      </c>
      <c r="E16" s="3" t="s">
        <v>6</v>
      </c>
      <c r="F16">
        <v>3136</v>
      </c>
      <c r="G16">
        <v>4.0253516907351496</v>
      </c>
    </row>
    <row r="17" spans="1:9" ht="15.75" x14ac:dyDescent="0.25">
      <c r="A17" s="1">
        <v>16</v>
      </c>
      <c r="B17" s="1" t="s">
        <v>24</v>
      </c>
      <c r="C17" s="1">
        <v>38</v>
      </c>
      <c r="D17" s="1">
        <v>90</v>
      </c>
      <c r="E17" s="3" t="s">
        <v>6</v>
      </c>
      <c r="F17">
        <v>1444</v>
      </c>
      <c r="G17">
        <v>3.6375861597263857</v>
      </c>
      <c r="I17" t="s">
        <v>116</v>
      </c>
    </row>
    <row r="18" spans="1:9" ht="15.75" x14ac:dyDescent="0.25">
      <c r="A18" s="1">
        <v>17</v>
      </c>
      <c r="B18" s="1" t="s">
        <v>25</v>
      </c>
      <c r="C18" s="1">
        <v>100</v>
      </c>
      <c r="D18" s="1">
        <v>93</v>
      </c>
      <c r="E18" s="3" t="s">
        <v>6</v>
      </c>
      <c r="F18">
        <v>10000</v>
      </c>
      <c r="G18">
        <v>4.6051701859880918</v>
      </c>
      <c r="I18" t="s">
        <v>120</v>
      </c>
    </row>
    <row r="19" spans="1:9" ht="15.75" x14ac:dyDescent="0.25">
      <c r="A19" s="1">
        <v>18</v>
      </c>
      <c r="B19" s="1" t="s">
        <v>26</v>
      </c>
      <c r="C19" s="1">
        <v>42</v>
      </c>
      <c r="D19" s="1">
        <v>92</v>
      </c>
      <c r="E19" s="3" t="s">
        <v>6</v>
      </c>
      <c r="F19">
        <v>1764</v>
      </c>
      <c r="G19">
        <v>3.7376696182833684</v>
      </c>
    </row>
    <row r="20" spans="1:9" ht="15.75" x14ac:dyDescent="0.25">
      <c r="A20" s="1">
        <v>19</v>
      </c>
      <c r="B20" s="1" t="s">
        <v>27</v>
      </c>
      <c r="C20" s="1">
        <v>35</v>
      </c>
      <c r="D20" s="1">
        <v>89</v>
      </c>
      <c r="E20" s="3" t="s">
        <v>14</v>
      </c>
      <c r="F20">
        <v>1225</v>
      </c>
      <c r="G20">
        <v>3.5553480614894135</v>
      </c>
      <c r="I20" t="s">
        <v>121</v>
      </c>
    </row>
    <row r="21" spans="1:9" ht="15.75" x14ac:dyDescent="0.25">
      <c r="A21" s="1">
        <v>20</v>
      </c>
      <c r="B21" s="1" t="s">
        <v>28</v>
      </c>
      <c r="C21" s="1">
        <v>440</v>
      </c>
      <c r="D21" s="1">
        <v>97</v>
      </c>
      <c r="E21" s="3" t="s">
        <v>22</v>
      </c>
      <c r="F21">
        <v>193600</v>
      </c>
      <c r="G21">
        <v>6.0867747269123065</v>
      </c>
    </row>
    <row r="22" spans="1:9" ht="15.75" x14ac:dyDescent="0.25">
      <c r="A22" s="1">
        <v>21</v>
      </c>
      <c r="B22" s="1" t="s">
        <v>29</v>
      </c>
      <c r="C22" s="1">
        <v>39</v>
      </c>
      <c r="D22" s="1">
        <v>89</v>
      </c>
      <c r="E22" s="3" t="s">
        <v>14</v>
      </c>
      <c r="F22">
        <v>1521</v>
      </c>
      <c r="G22">
        <v>3.6635616461296463</v>
      </c>
    </row>
    <row r="23" spans="1:9" ht="15.75" x14ac:dyDescent="0.25">
      <c r="A23" s="1">
        <v>22</v>
      </c>
      <c r="B23" s="1" t="s">
        <v>30</v>
      </c>
      <c r="C23" s="1">
        <v>35</v>
      </c>
      <c r="D23" s="1">
        <v>87</v>
      </c>
      <c r="E23" s="3" t="s">
        <v>14</v>
      </c>
      <c r="F23">
        <v>1225</v>
      </c>
      <c r="G23">
        <v>3.5553480614894135</v>
      </c>
    </row>
    <row r="24" spans="1:9" ht="15.75" x14ac:dyDescent="0.25">
      <c r="A24" s="1">
        <v>23</v>
      </c>
      <c r="B24" s="1" t="s">
        <v>31</v>
      </c>
      <c r="C24" s="1">
        <v>38</v>
      </c>
      <c r="D24" s="1">
        <v>86</v>
      </c>
      <c r="E24" s="3" t="s">
        <v>14</v>
      </c>
      <c r="F24">
        <v>1444</v>
      </c>
      <c r="G24">
        <v>3.6375861597263857</v>
      </c>
    </row>
    <row r="25" spans="1:9" ht="15.75" x14ac:dyDescent="0.25">
      <c r="A25" s="1">
        <v>24</v>
      </c>
      <c r="B25" s="1" t="s">
        <v>32</v>
      </c>
      <c r="C25" s="1">
        <v>53</v>
      </c>
      <c r="D25" s="1">
        <v>88</v>
      </c>
      <c r="E25" s="3" t="s">
        <v>14</v>
      </c>
      <c r="F25">
        <v>2809</v>
      </c>
      <c r="G25">
        <v>3.970291913552122</v>
      </c>
    </row>
    <row r="26" spans="1:9" ht="15.75" x14ac:dyDescent="0.25">
      <c r="A26" s="1">
        <v>25</v>
      </c>
      <c r="B26" s="1" t="s">
        <v>33</v>
      </c>
      <c r="C26" s="1">
        <v>20</v>
      </c>
      <c r="D26" s="1">
        <v>88</v>
      </c>
      <c r="E26" s="3" t="s">
        <v>14</v>
      </c>
      <c r="F26">
        <v>400</v>
      </c>
      <c r="G26">
        <v>2.9957322735539909</v>
      </c>
    </row>
    <row r="27" spans="1:9" ht="15.75" x14ac:dyDescent="0.25">
      <c r="A27" s="1">
        <v>26</v>
      </c>
      <c r="B27" s="1" t="s">
        <v>34</v>
      </c>
      <c r="C27" s="1">
        <v>25</v>
      </c>
      <c r="D27" s="1">
        <v>89</v>
      </c>
      <c r="E27" s="3" t="s">
        <v>14</v>
      </c>
      <c r="F27">
        <v>625</v>
      </c>
      <c r="G27">
        <v>3.2188758248682006</v>
      </c>
    </row>
    <row r="28" spans="1:9" ht="15.75" x14ac:dyDescent="0.25">
      <c r="A28" s="1">
        <v>27</v>
      </c>
      <c r="B28" s="1" t="s">
        <v>35</v>
      </c>
      <c r="C28" s="1">
        <v>20</v>
      </c>
      <c r="D28" s="1">
        <v>84</v>
      </c>
      <c r="E28" s="3" t="s">
        <v>9</v>
      </c>
      <c r="F28">
        <v>400</v>
      </c>
      <c r="G28">
        <v>2.9957322735539909</v>
      </c>
    </row>
    <row r="29" spans="1:9" ht="15.75" x14ac:dyDescent="0.25">
      <c r="A29" s="1">
        <v>28</v>
      </c>
      <c r="B29" s="1" t="s">
        <v>36</v>
      </c>
      <c r="C29" s="1">
        <v>29</v>
      </c>
      <c r="D29" s="1">
        <v>82</v>
      </c>
      <c r="E29" s="3" t="s">
        <v>9</v>
      </c>
      <c r="F29">
        <v>841</v>
      </c>
      <c r="G29">
        <v>3.3672958299864741</v>
      </c>
    </row>
    <row r="30" spans="1:9" ht="15.75" x14ac:dyDescent="0.25">
      <c r="A30" s="1">
        <v>29</v>
      </c>
      <c r="B30" s="1" t="s">
        <v>37</v>
      </c>
      <c r="C30" s="1">
        <v>90</v>
      </c>
      <c r="D30" s="1">
        <v>91</v>
      </c>
      <c r="E30" s="3" t="s">
        <v>6</v>
      </c>
      <c r="F30">
        <v>8100</v>
      </c>
      <c r="G30">
        <v>4.499809670330265</v>
      </c>
    </row>
    <row r="31" spans="1:9" ht="15.75" x14ac:dyDescent="0.25">
      <c r="A31" s="1">
        <v>30</v>
      </c>
      <c r="B31" s="1" t="s">
        <v>38</v>
      </c>
      <c r="C31" s="1">
        <v>125</v>
      </c>
      <c r="D31" s="1">
        <v>91</v>
      </c>
      <c r="E31" s="3" t="s">
        <v>6</v>
      </c>
      <c r="F31">
        <v>15625</v>
      </c>
      <c r="G31">
        <v>4.8283137373023015</v>
      </c>
    </row>
    <row r="32" spans="1:9" ht="15.75" x14ac:dyDescent="0.25">
      <c r="A32" s="1">
        <v>31</v>
      </c>
      <c r="B32" s="1" t="s">
        <v>39</v>
      </c>
      <c r="C32" s="1">
        <v>55</v>
      </c>
      <c r="D32" s="1">
        <v>90</v>
      </c>
      <c r="E32" s="3" t="s">
        <v>6</v>
      </c>
      <c r="F32">
        <v>3025</v>
      </c>
      <c r="G32">
        <v>4.0073331852324712</v>
      </c>
    </row>
    <row r="33" spans="1:7" ht="15.75" x14ac:dyDescent="0.25">
      <c r="A33" s="1">
        <v>32</v>
      </c>
      <c r="B33" s="1" t="s">
        <v>40</v>
      </c>
      <c r="C33" s="1">
        <v>25</v>
      </c>
      <c r="D33" s="1">
        <v>92</v>
      </c>
      <c r="E33" s="3" t="s">
        <v>6</v>
      </c>
      <c r="F33">
        <v>625</v>
      </c>
      <c r="G33">
        <v>3.2188758248682006</v>
      </c>
    </row>
    <row r="34" spans="1:7" ht="15.75" x14ac:dyDescent="0.25">
      <c r="A34" s="1">
        <v>33</v>
      </c>
      <c r="B34" s="1" t="s">
        <v>41</v>
      </c>
      <c r="C34" s="1">
        <v>25</v>
      </c>
      <c r="D34" s="1">
        <v>93</v>
      </c>
      <c r="E34" s="3" t="s">
        <v>6</v>
      </c>
      <c r="F34">
        <v>625</v>
      </c>
      <c r="G34">
        <v>3.2188758248682006</v>
      </c>
    </row>
    <row r="35" spans="1:7" ht="15.75" x14ac:dyDescent="0.25">
      <c r="A35" s="1">
        <v>34</v>
      </c>
      <c r="B35" s="1" t="s">
        <v>42</v>
      </c>
      <c r="C35" s="1">
        <v>32</v>
      </c>
      <c r="D35" s="1">
        <v>89</v>
      </c>
      <c r="E35" s="3" t="s">
        <v>14</v>
      </c>
      <c r="F35">
        <v>1024</v>
      </c>
      <c r="G35">
        <v>3.4657359027997265</v>
      </c>
    </row>
    <row r="36" spans="1:7" ht="15.75" x14ac:dyDescent="0.25">
      <c r="A36" s="1">
        <v>35</v>
      </c>
      <c r="B36" s="1" t="s">
        <v>43</v>
      </c>
      <c r="C36" s="1">
        <v>10</v>
      </c>
      <c r="D36" s="1">
        <v>84</v>
      </c>
      <c r="E36" s="3" t="s">
        <v>9</v>
      </c>
      <c r="F36">
        <v>100</v>
      </c>
      <c r="G36">
        <v>2.3025850929940459</v>
      </c>
    </row>
    <row r="37" spans="1:7" ht="15.75" x14ac:dyDescent="0.25">
      <c r="A37" s="1">
        <v>36</v>
      </c>
      <c r="B37" s="1" t="s">
        <v>44</v>
      </c>
      <c r="C37" s="1">
        <v>180</v>
      </c>
      <c r="D37" s="1">
        <v>97</v>
      </c>
      <c r="E37" s="3" t="s">
        <v>22</v>
      </c>
      <c r="F37">
        <v>32400</v>
      </c>
      <c r="G37">
        <v>5.1929568508902104</v>
      </c>
    </row>
    <row r="38" spans="1:7" ht="15.75" x14ac:dyDescent="0.25">
      <c r="A38" s="1">
        <v>37</v>
      </c>
      <c r="B38" s="1" t="s">
        <v>45</v>
      </c>
      <c r="C38" s="1">
        <v>27</v>
      </c>
      <c r="D38" s="1">
        <v>90</v>
      </c>
      <c r="E38" s="3" t="s">
        <v>6</v>
      </c>
      <c r="F38">
        <v>729</v>
      </c>
      <c r="G38">
        <v>3.2958368660043291</v>
      </c>
    </row>
    <row r="39" spans="1:7" ht="15.75" x14ac:dyDescent="0.25">
      <c r="A39" s="1">
        <v>38</v>
      </c>
      <c r="B39" s="1" t="s">
        <v>46</v>
      </c>
      <c r="C39" s="1">
        <v>147</v>
      </c>
      <c r="D39" s="1">
        <v>92</v>
      </c>
      <c r="E39" s="3" t="s">
        <v>6</v>
      </c>
      <c r="F39">
        <v>21609</v>
      </c>
      <c r="G39">
        <v>4.990432586778736</v>
      </c>
    </row>
    <row r="40" spans="1:7" ht="15.75" x14ac:dyDescent="0.25">
      <c r="A40" s="1">
        <v>39</v>
      </c>
      <c r="B40" s="1" t="s">
        <v>47</v>
      </c>
      <c r="C40" s="1">
        <v>38</v>
      </c>
      <c r="D40" s="1">
        <v>89</v>
      </c>
      <c r="E40" s="3" t="s">
        <v>14</v>
      </c>
      <c r="F40">
        <v>1444</v>
      </c>
      <c r="G40">
        <v>3.6375861597263857</v>
      </c>
    </row>
    <row r="41" spans="1:7" ht="15.75" x14ac:dyDescent="0.25">
      <c r="A41" s="1">
        <v>40</v>
      </c>
      <c r="B41" s="1" t="s">
        <v>48</v>
      </c>
      <c r="C41" s="1">
        <v>57</v>
      </c>
      <c r="D41" s="1">
        <v>89</v>
      </c>
      <c r="E41" s="3" t="s">
        <v>14</v>
      </c>
      <c r="F41">
        <v>3249</v>
      </c>
      <c r="G41">
        <v>4.0430512678345503</v>
      </c>
    </row>
    <row r="42" spans="1:7" ht="15.75" x14ac:dyDescent="0.25">
      <c r="A42" s="1">
        <v>41</v>
      </c>
      <c r="B42" s="1" t="s">
        <v>49</v>
      </c>
      <c r="C42" s="1">
        <v>22</v>
      </c>
      <c r="D42" s="1">
        <v>89</v>
      </c>
      <c r="E42" s="3" t="s">
        <v>14</v>
      </c>
      <c r="F42">
        <v>484</v>
      </c>
      <c r="G42">
        <v>3.0910424533583161</v>
      </c>
    </row>
    <row r="43" spans="1:7" ht="15.75" x14ac:dyDescent="0.25">
      <c r="A43" s="1">
        <v>42</v>
      </c>
      <c r="B43" s="1" t="s">
        <v>50</v>
      </c>
      <c r="C43" s="1">
        <v>19</v>
      </c>
      <c r="D43" s="1">
        <v>87</v>
      </c>
      <c r="E43" s="3" t="s">
        <v>14</v>
      </c>
      <c r="F43">
        <v>361</v>
      </c>
      <c r="G43">
        <v>2.9444389791664403</v>
      </c>
    </row>
    <row r="44" spans="1:7" ht="15.75" x14ac:dyDescent="0.25">
      <c r="A44" s="1">
        <v>43</v>
      </c>
      <c r="B44" s="1" t="s">
        <v>51</v>
      </c>
      <c r="C44" s="1">
        <v>72</v>
      </c>
      <c r="D44" s="1">
        <v>94</v>
      </c>
      <c r="E44" s="3" t="s">
        <v>6</v>
      </c>
      <c r="F44">
        <v>5184</v>
      </c>
      <c r="G44">
        <v>4.2766661190160553</v>
      </c>
    </row>
    <row r="45" spans="1:7" ht="15.75" x14ac:dyDescent="0.25">
      <c r="A45" s="1">
        <v>44</v>
      </c>
      <c r="B45" s="1" t="s">
        <v>52</v>
      </c>
      <c r="C45" s="1">
        <v>150</v>
      </c>
      <c r="D45" s="1">
        <v>94</v>
      </c>
      <c r="E45" s="3" t="s">
        <v>6</v>
      </c>
      <c r="F45">
        <v>22500</v>
      </c>
      <c r="G45">
        <v>5.0106352940962555</v>
      </c>
    </row>
    <row r="46" spans="1:7" ht="15.75" x14ac:dyDescent="0.25">
      <c r="A46" s="1">
        <v>45</v>
      </c>
      <c r="B46" s="1" t="s">
        <v>53</v>
      </c>
      <c r="C46" s="1">
        <v>60</v>
      </c>
      <c r="D46" s="1">
        <v>93</v>
      </c>
      <c r="E46" s="3" t="s">
        <v>6</v>
      </c>
      <c r="F46">
        <v>3600</v>
      </c>
      <c r="G46">
        <v>4.0943445622221004</v>
      </c>
    </row>
    <row r="47" spans="1:7" ht="15.75" x14ac:dyDescent="0.25">
      <c r="A47" s="1">
        <v>46</v>
      </c>
      <c r="B47" s="1" t="s">
        <v>54</v>
      </c>
      <c r="C47" s="1">
        <v>17</v>
      </c>
      <c r="D47" s="1">
        <v>88</v>
      </c>
      <c r="E47" s="3" t="s">
        <v>14</v>
      </c>
      <c r="F47">
        <v>289</v>
      </c>
      <c r="G47">
        <v>2.8332133440562162</v>
      </c>
    </row>
    <row r="48" spans="1:7" ht="15.75" x14ac:dyDescent="0.25">
      <c r="A48" s="1">
        <v>47</v>
      </c>
      <c r="B48" s="1" t="s">
        <v>5</v>
      </c>
      <c r="C48" s="1">
        <v>55</v>
      </c>
      <c r="D48" s="1">
        <v>88</v>
      </c>
      <c r="E48" s="3" t="s">
        <v>14</v>
      </c>
      <c r="F48">
        <v>3025</v>
      </c>
      <c r="G48">
        <v>4.0073331852324712</v>
      </c>
    </row>
    <row r="49" spans="1:7" ht="15.75" x14ac:dyDescent="0.25">
      <c r="A49" s="1">
        <v>48</v>
      </c>
      <c r="B49" s="1" t="s">
        <v>55</v>
      </c>
      <c r="C49" s="1">
        <v>18</v>
      </c>
      <c r="D49" s="1">
        <v>86</v>
      </c>
      <c r="E49" s="3" t="s">
        <v>14</v>
      </c>
      <c r="F49">
        <v>324</v>
      </c>
      <c r="G49">
        <v>2.8903717578961645</v>
      </c>
    </row>
    <row r="50" spans="1:7" ht="15.75" x14ac:dyDescent="0.25">
      <c r="A50" s="1">
        <v>49</v>
      </c>
      <c r="B50" s="1" t="s">
        <v>55</v>
      </c>
      <c r="C50" s="1">
        <v>19</v>
      </c>
      <c r="D50" s="1">
        <v>88</v>
      </c>
      <c r="E50" s="3" t="s">
        <v>14</v>
      </c>
      <c r="F50">
        <v>361</v>
      </c>
      <c r="G50">
        <v>2.9444389791664403</v>
      </c>
    </row>
    <row r="51" spans="1:7" ht="15.75" x14ac:dyDescent="0.25">
      <c r="A51" s="1">
        <v>50</v>
      </c>
      <c r="B51" s="1" t="s">
        <v>56</v>
      </c>
      <c r="C51" s="1">
        <v>109</v>
      </c>
      <c r="D51" s="1">
        <v>91</v>
      </c>
      <c r="E51" s="3" t="s">
        <v>6</v>
      </c>
      <c r="F51">
        <v>11881</v>
      </c>
      <c r="G51">
        <v>4.6913478822291435</v>
      </c>
    </row>
    <row r="52" spans="1:7" ht="15.75" x14ac:dyDescent="0.25">
      <c r="A52" s="1">
        <v>51</v>
      </c>
      <c r="B52" s="1" t="s">
        <v>57</v>
      </c>
      <c r="C52" s="1">
        <v>12</v>
      </c>
      <c r="D52" s="1">
        <v>87</v>
      </c>
      <c r="E52" s="3" t="s">
        <v>14</v>
      </c>
      <c r="F52">
        <v>144</v>
      </c>
      <c r="G52">
        <v>2.4849066497880004</v>
      </c>
    </row>
    <row r="53" spans="1:7" ht="15.75" x14ac:dyDescent="0.25">
      <c r="A53" s="1">
        <v>52</v>
      </c>
      <c r="B53" s="1" t="s">
        <v>58</v>
      </c>
      <c r="C53" s="1">
        <v>35</v>
      </c>
      <c r="D53" s="1">
        <v>89</v>
      </c>
      <c r="E53" s="3" t="s">
        <v>14</v>
      </c>
      <c r="F53">
        <v>1225</v>
      </c>
      <c r="G53">
        <v>3.5553480614894135</v>
      </c>
    </row>
    <row r="54" spans="1:7" ht="15.75" x14ac:dyDescent="0.25">
      <c r="A54" s="1">
        <v>53</v>
      </c>
      <c r="B54" s="1" t="s">
        <v>59</v>
      </c>
      <c r="C54" s="1">
        <v>20</v>
      </c>
      <c r="D54" s="1">
        <v>89</v>
      </c>
      <c r="E54" s="3" t="s">
        <v>14</v>
      </c>
      <c r="F54">
        <v>400</v>
      </c>
      <c r="G54">
        <v>2.9957322735539909</v>
      </c>
    </row>
    <row r="55" spans="1:7" ht="15.75" x14ac:dyDescent="0.25">
      <c r="A55" s="1">
        <v>54</v>
      </c>
      <c r="B55" s="1" t="s">
        <v>60</v>
      </c>
      <c r="C55" s="1">
        <v>210</v>
      </c>
      <c r="D55" s="1">
        <v>93</v>
      </c>
      <c r="E55" s="3" t="s">
        <v>6</v>
      </c>
      <c r="F55">
        <v>44100</v>
      </c>
      <c r="G55">
        <v>5.3471075307174685</v>
      </c>
    </row>
    <row r="56" spans="1:7" ht="15.75" x14ac:dyDescent="0.25">
      <c r="A56" s="1">
        <v>55</v>
      </c>
      <c r="B56" s="1" t="s">
        <v>12</v>
      </c>
      <c r="C56" s="1">
        <v>21</v>
      </c>
      <c r="D56" s="1">
        <v>78</v>
      </c>
      <c r="E56" s="3" t="s">
        <v>61</v>
      </c>
      <c r="F56">
        <v>441</v>
      </c>
      <c r="G56">
        <v>3.044522437723423</v>
      </c>
    </row>
    <row r="57" spans="1:7" ht="15.75" x14ac:dyDescent="0.25">
      <c r="A57" s="1">
        <v>56</v>
      </c>
      <c r="B57" s="1" t="s">
        <v>5</v>
      </c>
      <c r="C57" s="1">
        <v>37</v>
      </c>
      <c r="D57" s="1">
        <v>93</v>
      </c>
      <c r="E57" s="3" t="s">
        <v>6</v>
      </c>
      <c r="F57">
        <v>1369</v>
      </c>
      <c r="G57">
        <v>3.6109179126442243</v>
      </c>
    </row>
    <row r="58" spans="1:7" ht="15.75" x14ac:dyDescent="0.25">
      <c r="A58" s="1">
        <v>57</v>
      </c>
      <c r="B58" s="1" t="s">
        <v>62</v>
      </c>
      <c r="C58" s="1">
        <v>16</v>
      </c>
      <c r="D58" s="1">
        <v>89</v>
      </c>
      <c r="E58" s="3" t="s">
        <v>14</v>
      </c>
      <c r="F58">
        <v>256</v>
      </c>
      <c r="G58">
        <v>2.7725887222397811</v>
      </c>
    </row>
    <row r="59" spans="1:7" ht="15.75" x14ac:dyDescent="0.25">
      <c r="A59" s="1">
        <v>58</v>
      </c>
      <c r="B59" s="1" t="s">
        <v>63</v>
      </c>
      <c r="C59" s="1">
        <v>58</v>
      </c>
      <c r="D59" s="1">
        <v>88</v>
      </c>
      <c r="E59" s="3" t="s">
        <v>14</v>
      </c>
      <c r="F59">
        <v>3364</v>
      </c>
      <c r="G59">
        <v>4.0604430105464191</v>
      </c>
    </row>
    <row r="60" spans="1:7" ht="15.75" x14ac:dyDescent="0.25">
      <c r="A60" s="1">
        <v>59</v>
      </c>
      <c r="B60" s="1" t="s">
        <v>64</v>
      </c>
      <c r="C60" s="1">
        <v>75</v>
      </c>
      <c r="D60" s="1">
        <v>92</v>
      </c>
      <c r="E60" s="3" t="s">
        <v>6</v>
      </c>
      <c r="F60">
        <v>5625</v>
      </c>
      <c r="G60">
        <v>4.3174881135363101</v>
      </c>
    </row>
    <row r="61" spans="1:7" ht="15.75" x14ac:dyDescent="0.25">
      <c r="A61" s="1">
        <v>60</v>
      </c>
      <c r="B61" s="1" t="s">
        <v>65</v>
      </c>
      <c r="C61" s="1">
        <v>39</v>
      </c>
      <c r="D61" s="1">
        <v>88</v>
      </c>
      <c r="E61" s="3" t="s">
        <v>14</v>
      </c>
      <c r="F61">
        <v>1521</v>
      </c>
      <c r="G61">
        <v>3.6635616461296463</v>
      </c>
    </row>
    <row r="62" spans="1:7" ht="15.75" x14ac:dyDescent="0.25">
      <c r="A62" s="1">
        <v>61</v>
      </c>
      <c r="B62" s="1" t="s">
        <v>66</v>
      </c>
      <c r="C62" s="1">
        <v>300</v>
      </c>
      <c r="D62" s="1">
        <v>96</v>
      </c>
      <c r="E62" s="3" t="s">
        <v>22</v>
      </c>
      <c r="F62">
        <v>90000</v>
      </c>
      <c r="G62">
        <v>5.7037824746562009</v>
      </c>
    </row>
    <row r="63" spans="1:7" ht="15.75" x14ac:dyDescent="0.25">
      <c r="A63" s="1">
        <v>62</v>
      </c>
      <c r="B63" s="1" t="s">
        <v>60</v>
      </c>
      <c r="C63" s="1">
        <v>35</v>
      </c>
      <c r="D63" s="1">
        <v>90</v>
      </c>
      <c r="E63" s="3" t="s">
        <v>6</v>
      </c>
      <c r="F63">
        <v>1225</v>
      </c>
      <c r="G63">
        <v>3.5553480614894135</v>
      </c>
    </row>
    <row r="64" spans="1:7" ht="15.75" x14ac:dyDescent="0.25">
      <c r="A64" s="1">
        <v>63</v>
      </c>
      <c r="B64" s="1" t="s">
        <v>59</v>
      </c>
      <c r="C64" s="1">
        <v>22</v>
      </c>
      <c r="D64" s="1">
        <v>90</v>
      </c>
      <c r="E64" s="3" t="s">
        <v>6</v>
      </c>
      <c r="F64">
        <v>484</v>
      </c>
      <c r="G64">
        <v>3.0910424533583161</v>
      </c>
    </row>
    <row r="65" spans="1:7" ht="15.75" x14ac:dyDescent="0.25">
      <c r="A65" s="1">
        <v>64</v>
      </c>
      <c r="B65" s="1" t="s">
        <v>5</v>
      </c>
      <c r="C65" s="1">
        <v>90</v>
      </c>
      <c r="D65" s="1">
        <v>92</v>
      </c>
      <c r="E65" s="3" t="s">
        <v>6</v>
      </c>
      <c r="F65">
        <v>8100</v>
      </c>
      <c r="G65">
        <v>4.499809670330265</v>
      </c>
    </row>
    <row r="66" spans="1:7" ht="15.75" x14ac:dyDescent="0.25">
      <c r="A66" s="1">
        <v>65</v>
      </c>
      <c r="B66" s="1" t="s">
        <v>67</v>
      </c>
      <c r="C66" s="1">
        <v>95</v>
      </c>
      <c r="D66" s="1">
        <v>93</v>
      </c>
      <c r="E66" s="3" t="s">
        <v>6</v>
      </c>
      <c r="F66">
        <v>9025</v>
      </c>
      <c r="G66">
        <v>4.5538768916005408</v>
      </c>
    </row>
    <row r="67" spans="1:7" ht="15.75" x14ac:dyDescent="0.25">
      <c r="A67" s="1">
        <v>66</v>
      </c>
      <c r="B67" s="1" t="s">
        <v>68</v>
      </c>
      <c r="C67" s="1">
        <v>21</v>
      </c>
      <c r="D67" s="1">
        <v>89</v>
      </c>
      <c r="E67" s="3" t="s">
        <v>14</v>
      </c>
      <c r="F67">
        <v>441</v>
      </c>
      <c r="G67">
        <v>3.044522437723423</v>
      </c>
    </row>
    <row r="68" spans="1:7" ht="15.75" x14ac:dyDescent="0.25">
      <c r="A68" s="1">
        <v>67</v>
      </c>
      <c r="B68" s="1" t="s">
        <v>69</v>
      </c>
      <c r="C68" s="1">
        <v>10</v>
      </c>
      <c r="D68" s="1">
        <v>83</v>
      </c>
      <c r="E68" s="3" t="s">
        <v>9</v>
      </c>
      <c r="F68">
        <v>100</v>
      </c>
      <c r="G68">
        <v>2.3025850929940459</v>
      </c>
    </row>
    <row r="69" spans="1:7" ht="15.75" x14ac:dyDescent="0.25">
      <c r="A69" s="1">
        <v>68</v>
      </c>
      <c r="B69" s="1" t="s">
        <v>70</v>
      </c>
      <c r="C69" s="1">
        <v>25</v>
      </c>
      <c r="D69" s="1">
        <v>86</v>
      </c>
      <c r="E69" s="3" t="s">
        <v>14</v>
      </c>
      <c r="F69">
        <v>625</v>
      </c>
      <c r="G69">
        <v>3.2188758248682006</v>
      </c>
    </row>
    <row r="70" spans="1:7" ht="15.75" x14ac:dyDescent="0.25">
      <c r="A70" s="1">
        <v>69</v>
      </c>
      <c r="B70" s="1" t="s">
        <v>71</v>
      </c>
      <c r="C70" s="1">
        <v>29</v>
      </c>
      <c r="D70" s="1">
        <v>90</v>
      </c>
      <c r="E70" s="3" t="s">
        <v>6</v>
      </c>
      <c r="F70">
        <v>841</v>
      </c>
      <c r="G70">
        <v>3.3672958299864741</v>
      </c>
    </row>
    <row r="71" spans="1:7" ht="15.75" x14ac:dyDescent="0.25">
      <c r="A71" s="1">
        <v>70</v>
      </c>
      <c r="B71" s="1" t="s">
        <v>72</v>
      </c>
      <c r="C71" s="1">
        <v>23</v>
      </c>
      <c r="D71" s="1">
        <v>89</v>
      </c>
      <c r="E71" s="3" t="s">
        <v>14</v>
      </c>
      <c r="F71">
        <v>529</v>
      </c>
      <c r="G71">
        <v>3.1354942159291497</v>
      </c>
    </row>
    <row r="72" spans="1:7" ht="15.75" x14ac:dyDescent="0.25">
      <c r="A72" s="1">
        <v>71</v>
      </c>
      <c r="B72" s="1" t="s">
        <v>73</v>
      </c>
      <c r="C72" s="1">
        <v>90</v>
      </c>
      <c r="D72" s="1">
        <v>96</v>
      </c>
      <c r="E72" s="3" t="s">
        <v>22</v>
      </c>
      <c r="F72">
        <v>8100</v>
      </c>
      <c r="G72">
        <v>4.499809670330265</v>
      </c>
    </row>
    <row r="73" spans="1:7" ht="15.75" x14ac:dyDescent="0.25">
      <c r="A73" s="1">
        <v>72</v>
      </c>
      <c r="B73" s="1" t="s">
        <v>59</v>
      </c>
      <c r="C73" s="1">
        <v>18</v>
      </c>
      <c r="D73" s="1">
        <v>88</v>
      </c>
      <c r="E73" s="3" t="s">
        <v>14</v>
      </c>
      <c r="F73">
        <v>324</v>
      </c>
      <c r="G73">
        <v>2.8903717578961645</v>
      </c>
    </row>
    <row r="74" spans="1:7" ht="15.75" x14ac:dyDescent="0.25">
      <c r="A74" s="1">
        <v>73</v>
      </c>
      <c r="B74" s="1" t="s">
        <v>74</v>
      </c>
      <c r="C74" s="1">
        <v>54</v>
      </c>
      <c r="D74" s="1">
        <v>89</v>
      </c>
      <c r="E74" s="3" t="s">
        <v>14</v>
      </c>
      <c r="F74">
        <v>2916</v>
      </c>
      <c r="G74">
        <v>3.9889840465642745</v>
      </c>
    </row>
    <row r="75" spans="1:7" ht="15.75" x14ac:dyDescent="0.25">
      <c r="A75" s="1">
        <v>74</v>
      </c>
      <c r="B75" s="1" t="s">
        <v>75</v>
      </c>
      <c r="C75" s="1">
        <v>62</v>
      </c>
      <c r="D75" s="1">
        <v>96</v>
      </c>
      <c r="E75" s="3" t="s">
        <v>22</v>
      </c>
      <c r="F75">
        <v>3844</v>
      </c>
      <c r="G75">
        <v>4.1271343850450917</v>
      </c>
    </row>
    <row r="76" spans="1:7" ht="15.75" x14ac:dyDescent="0.25">
      <c r="A76" s="1">
        <v>75</v>
      </c>
      <c r="B76" s="1" t="s">
        <v>76</v>
      </c>
      <c r="C76" s="1">
        <v>21</v>
      </c>
      <c r="D76" s="1">
        <v>88</v>
      </c>
      <c r="E76" s="3" t="s">
        <v>14</v>
      </c>
      <c r="F76">
        <v>441</v>
      </c>
      <c r="G76">
        <v>3.044522437723423</v>
      </c>
    </row>
    <row r="77" spans="1:7" ht="15.75" x14ac:dyDescent="0.25">
      <c r="A77" s="1">
        <v>76</v>
      </c>
      <c r="B77" s="1" t="s">
        <v>77</v>
      </c>
      <c r="C77" s="1">
        <v>37</v>
      </c>
      <c r="D77" s="1">
        <v>88</v>
      </c>
      <c r="E77" s="3" t="s">
        <v>14</v>
      </c>
      <c r="F77">
        <v>1369</v>
      </c>
      <c r="G77">
        <v>3.6109179126442243</v>
      </c>
    </row>
    <row r="78" spans="1:7" ht="15.75" x14ac:dyDescent="0.25">
      <c r="A78" s="1">
        <v>77</v>
      </c>
      <c r="B78" s="1" t="s">
        <v>78</v>
      </c>
      <c r="C78" s="1">
        <v>24</v>
      </c>
      <c r="D78" s="1">
        <v>86</v>
      </c>
      <c r="E78" s="3" t="s">
        <v>14</v>
      </c>
      <c r="F78">
        <v>576</v>
      </c>
      <c r="G78">
        <v>3.1780538303479458</v>
      </c>
    </row>
    <row r="79" spans="1:7" ht="15.75" x14ac:dyDescent="0.25">
      <c r="A79" s="1">
        <v>78</v>
      </c>
      <c r="B79" s="1" t="s">
        <v>5</v>
      </c>
      <c r="C79" s="1">
        <v>52</v>
      </c>
      <c r="D79" s="1">
        <v>91</v>
      </c>
      <c r="E79" s="3" t="s">
        <v>6</v>
      </c>
      <c r="F79">
        <v>2704</v>
      </c>
      <c r="G79">
        <v>3.9512437185814275</v>
      </c>
    </row>
    <row r="80" spans="1:7" ht="15.75" x14ac:dyDescent="0.25">
      <c r="A80" s="1">
        <v>79</v>
      </c>
      <c r="B80" s="1" t="s">
        <v>79</v>
      </c>
      <c r="C80" s="1">
        <v>55</v>
      </c>
      <c r="D80" s="1">
        <v>88</v>
      </c>
      <c r="E80" s="3" t="s">
        <v>14</v>
      </c>
      <c r="F80">
        <v>3025</v>
      </c>
      <c r="G80">
        <v>4.0073331852324712</v>
      </c>
    </row>
    <row r="81" spans="1:7" ht="15.75" x14ac:dyDescent="0.25">
      <c r="A81" s="1">
        <v>80</v>
      </c>
      <c r="B81" s="1" t="s">
        <v>80</v>
      </c>
      <c r="C81" s="1">
        <v>440</v>
      </c>
      <c r="D81" s="1">
        <v>95</v>
      </c>
      <c r="E81" s="3" t="s">
        <v>22</v>
      </c>
      <c r="F81">
        <v>193600</v>
      </c>
      <c r="G81">
        <v>6.0867747269123065</v>
      </c>
    </row>
    <row r="82" spans="1:7" ht="15.75" x14ac:dyDescent="0.25">
      <c r="A82" s="1">
        <v>81</v>
      </c>
      <c r="B82" s="1" t="s">
        <v>81</v>
      </c>
      <c r="C82" s="1">
        <v>105</v>
      </c>
      <c r="D82" s="1">
        <v>90</v>
      </c>
      <c r="E82" s="3" t="s">
        <v>6</v>
      </c>
      <c r="F82">
        <v>11025</v>
      </c>
      <c r="G82">
        <v>4.6539603501575231</v>
      </c>
    </row>
    <row r="83" spans="1:7" ht="15.75" x14ac:dyDescent="0.25">
      <c r="A83" s="1">
        <v>82</v>
      </c>
      <c r="B83" s="1" t="s">
        <v>82</v>
      </c>
      <c r="C83" s="1">
        <v>40</v>
      </c>
      <c r="D83" s="1">
        <v>89</v>
      </c>
      <c r="E83" s="3" t="s">
        <v>14</v>
      </c>
      <c r="F83">
        <v>1600</v>
      </c>
      <c r="G83">
        <v>3.6888794541139363</v>
      </c>
    </row>
    <row r="84" spans="1:7" ht="15.75" x14ac:dyDescent="0.25">
      <c r="A84" s="1">
        <v>83</v>
      </c>
      <c r="B84" s="1" t="s">
        <v>83</v>
      </c>
      <c r="C84" s="1">
        <v>120</v>
      </c>
      <c r="D84" s="1">
        <v>92</v>
      </c>
      <c r="E84" s="3" t="s">
        <v>6</v>
      </c>
      <c r="F84">
        <v>14400</v>
      </c>
      <c r="G84">
        <v>4.7874917427820458</v>
      </c>
    </row>
    <row r="85" spans="1:7" ht="15.75" x14ac:dyDescent="0.25">
      <c r="A85" s="1">
        <v>84</v>
      </c>
      <c r="B85" s="1" t="s">
        <v>84</v>
      </c>
      <c r="C85" s="1">
        <v>26</v>
      </c>
      <c r="D85" s="1">
        <v>90</v>
      </c>
      <c r="E85" s="3" t="s">
        <v>6</v>
      </c>
      <c r="F85">
        <v>676</v>
      </c>
      <c r="G85">
        <v>3.2580965380214821</v>
      </c>
    </row>
    <row r="86" spans="1:7" ht="15.75" x14ac:dyDescent="0.25">
      <c r="A86" s="1">
        <v>85</v>
      </c>
      <c r="B86" s="1" t="s">
        <v>85</v>
      </c>
      <c r="C86" s="1">
        <v>28</v>
      </c>
      <c r="D86" s="1">
        <v>88</v>
      </c>
      <c r="E86" s="3" t="s">
        <v>14</v>
      </c>
      <c r="F86">
        <v>784</v>
      </c>
      <c r="G86">
        <v>3.3322045101752038</v>
      </c>
    </row>
    <row r="87" spans="1:7" ht="15.75" x14ac:dyDescent="0.25">
      <c r="A87" s="1">
        <v>86</v>
      </c>
      <c r="B87" s="1" t="s">
        <v>86</v>
      </c>
      <c r="C87" s="1">
        <v>150</v>
      </c>
      <c r="D87" s="1">
        <v>93</v>
      </c>
      <c r="E87" s="3" t="s">
        <v>6</v>
      </c>
      <c r="F87">
        <v>22500</v>
      </c>
      <c r="G87">
        <v>5.0106352940962555</v>
      </c>
    </row>
    <row r="88" spans="1:7" ht="15.75" x14ac:dyDescent="0.25">
      <c r="A88" s="1">
        <v>87</v>
      </c>
      <c r="B88" s="1" t="s">
        <v>5</v>
      </c>
      <c r="C88" s="1">
        <v>37</v>
      </c>
      <c r="D88" s="1">
        <v>91</v>
      </c>
      <c r="E88" s="3" t="s">
        <v>6</v>
      </c>
      <c r="F88">
        <v>1369</v>
      </c>
      <c r="G88">
        <v>3.6109179126442243</v>
      </c>
    </row>
    <row r="89" spans="1:7" ht="15.75" x14ac:dyDescent="0.25">
      <c r="A89" s="1">
        <v>88</v>
      </c>
      <c r="B89" s="1" t="s">
        <v>87</v>
      </c>
      <c r="C89" s="1">
        <v>43</v>
      </c>
      <c r="D89" s="1">
        <v>89</v>
      </c>
      <c r="E89" s="3" t="s">
        <v>14</v>
      </c>
      <c r="F89">
        <v>1849</v>
      </c>
      <c r="G89">
        <v>3.7612001156935624</v>
      </c>
    </row>
    <row r="90" spans="1:7" ht="15.75" x14ac:dyDescent="0.25">
      <c r="A90" s="1">
        <v>89</v>
      </c>
      <c r="B90" s="1" t="s">
        <v>88</v>
      </c>
      <c r="C90" s="1">
        <v>120</v>
      </c>
      <c r="D90" s="1">
        <v>91</v>
      </c>
      <c r="E90" s="3" t="s">
        <v>6</v>
      </c>
      <c r="F90">
        <v>14400</v>
      </c>
      <c r="G90">
        <v>4.7874917427820458</v>
      </c>
    </row>
    <row r="91" spans="1:7" ht="15.75" x14ac:dyDescent="0.25">
      <c r="A91" s="1">
        <v>90</v>
      </c>
      <c r="B91" s="1" t="s">
        <v>89</v>
      </c>
      <c r="C91" s="1">
        <v>25</v>
      </c>
      <c r="D91" s="1">
        <v>87</v>
      </c>
      <c r="E91" s="3" t="s">
        <v>14</v>
      </c>
      <c r="F91">
        <v>625</v>
      </c>
      <c r="G91">
        <v>3.2188758248682006</v>
      </c>
    </row>
    <row r="92" spans="1:7" ht="15.75" x14ac:dyDescent="0.25">
      <c r="A92" s="1">
        <v>91</v>
      </c>
      <c r="B92" s="1" t="s">
        <v>90</v>
      </c>
      <c r="C92" s="1">
        <v>25</v>
      </c>
      <c r="D92" s="1">
        <v>88</v>
      </c>
      <c r="E92" s="3" t="s">
        <v>14</v>
      </c>
      <c r="F92">
        <v>625</v>
      </c>
      <c r="G92">
        <v>3.2188758248682006</v>
      </c>
    </row>
    <row r="93" spans="1:7" ht="15.75" x14ac:dyDescent="0.25">
      <c r="A93" s="1">
        <v>92</v>
      </c>
      <c r="B93" s="1" t="s">
        <v>91</v>
      </c>
      <c r="C93" s="1">
        <v>40</v>
      </c>
      <c r="D93" s="1">
        <v>90</v>
      </c>
      <c r="E93" s="3" t="s">
        <v>6</v>
      </c>
      <c r="F93">
        <v>1600</v>
      </c>
      <c r="G93">
        <v>3.6888794541139363</v>
      </c>
    </row>
    <row r="94" spans="1:7" ht="15.75" x14ac:dyDescent="0.25">
      <c r="A94" s="1">
        <v>93</v>
      </c>
      <c r="B94" s="1" t="s">
        <v>92</v>
      </c>
      <c r="C94" s="1">
        <v>57</v>
      </c>
      <c r="D94" s="1">
        <v>90</v>
      </c>
      <c r="E94" s="3" t="s">
        <v>6</v>
      </c>
      <c r="F94">
        <v>3249</v>
      </c>
      <c r="G94">
        <v>4.0430512678345503</v>
      </c>
    </row>
    <row r="95" spans="1:7" ht="15.75" x14ac:dyDescent="0.25">
      <c r="A95" s="1">
        <v>94</v>
      </c>
      <c r="B95" s="1" t="s">
        <v>93</v>
      </c>
      <c r="C95" s="1">
        <v>27</v>
      </c>
      <c r="D95" s="1">
        <v>89</v>
      </c>
      <c r="E95" s="3" t="s">
        <v>14</v>
      </c>
      <c r="F95">
        <v>729</v>
      </c>
      <c r="G95">
        <v>3.2958368660043291</v>
      </c>
    </row>
    <row r="96" spans="1:7" ht="15.75" x14ac:dyDescent="0.25">
      <c r="A96" s="1">
        <v>95</v>
      </c>
      <c r="B96" s="1" t="s">
        <v>94</v>
      </c>
      <c r="C96" s="1">
        <v>19</v>
      </c>
      <c r="D96" s="1">
        <v>88</v>
      </c>
      <c r="E96" s="3" t="s">
        <v>14</v>
      </c>
      <c r="F96">
        <v>361</v>
      </c>
      <c r="G96">
        <v>2.9444389791664403</v>
      </c>
    </row>
    <row r="97" spans="1:7" ht="15.75" x14ac:dyDescent="0.25">
      <c r="A97" s="1">
        <v>96</v>
      </c>
      <c r="B97" s="1" t="s">
        <v>95</v>
      </c>
      <c r="C97" s="1">
        <v>15</v>
      </c>
      <c r="D97" s="1">
        <v>87</v>
      </c>
      <c r="E97" s="3" t="s">
        <v>14</v>
      </c>
      <c r="F97">
        <v>225</v>
      </c>
      <c r="G97">
        <v>2.7080502011022101</v>
      </c>
    </row>
    <row r="98" spans="1:7" ht="15.75" x14ac:dyDescent="0.25">
      <c r="A98" s="1">
        <v>97</v>
      </c>
      <c r="B98" s="1" t="s">
        <v>96</v>
      </c>
      <c r="C98" s="1">
        <v>13</v>
      </c>
      <c r="D98" s="1">
        <v>88</v>
      </c>
      <c r="E98" s="3" t="s">
        <v>14</v>
      </c>
      <c r="F98">
        <v>169</v>
      </c>
      <c r="G98">
        <v>2.5649493574615367</v>
      </c>
    </row>
    <row r="99" spans="1:7" ht="15.75" x14ac:dyDescent="0.25">
      <c r="A99" s="1">
        <v>98</v>
      </c>
      <c r="B99" s="1" t="s">
        <v>97</v>
      </c>
      <c r="C99" s="1">
        <v>69</v>
      </c>
      <c r="D99" s="1">
        <v>92</v>
      </c>
      <c r="E99" s="3" t="s">
        <v>6</v>
      </c>
      <c r="F99">
        <v>4761</v>
      </c>
      <c r="G99">
        <v>4.2341065045972597</v>
      </c>
    </row>
    <row r="100" spans="1:7" ht="15.75" x14ac:dyDescent="0.25">
      <c r="A100" s="1">
        <v>99</v>
      </c>
      <c r="B100" s="1" t="s">
        <v>94</v>
      </c>
      <c r="C100" s="1">
        <v>13</v>
      </c>
      <c r="D100" s="1">
        <v>87</v>
      </c>
      <c r="E100" s="3" t="s">
        <v>14</v>
      </c>
      <c r="F100">
        <v>169</v>
      </c>
      <c r="G100">
        <v>2.5649493574615367</v>
      </c>
    </row>
    <row r="101" spans="1:7" ht="15.75" x14ac:dyDescent="0.25">
      <c r="A101" s="1">
        <v>100</v>
      </c>
      <c r="B101" s="1" t="s">
        <v>98</v>
      </c>
      <c r="C101" s="1">
        <v>50</v>
      </c>
      <c r="D101" s="1">
        <v>87</v>
      </c>
      <c r="E101" s="3" t="s">
        <v>14</v>
      </c>
      <c r="F101">
        <v>2500</v>
      </c>
      <c r="G101">
        <v>3.912023005428146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3EE9-6D2C-4D39-BC48-403817CB517B}">
  <dimension ref="A1:A2"/>
  <sheetViews>
    <sheetView workbookViewId="0">
      <selection activeCell="A2" sqref="A2"/>
    </sheetView>
  </sheetViews>
  <sheetFormatPr defaultRowHeight="15" x14ac:dyDescent="0.25"/>
  <cols>
    <col min="1" max="1" width="106.140625" bestFit="1" customWidth="1"/>
  </cols>
  <sheetData>
    <row r="1" spans="1:1" x14ac:dyDescent="0.25">
      <c r="A1" t="s">
        <v>122</v>
      </c>
    </row>
    <row r="2" spans="1:1" x14ac:dyDescent="0.25">
      <c r="A2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3DF7-8C60-42BF-901C-8BEC4E0CF66E}">
  <dimension ref="A1:A2"/>
  <sheetViews>
    <sheetView tabSelected="1" workbookViewId="0">
      <selection activeCell="E7" sqref="E7"/>
    </sheetView>
  </sheetViews>
  <sheetFormatPr defaultRowHeight="15" x14ac:dyDescent="0.25"/>
  <cols>
    <col min="1" max="1" width="146.85546875" bestFit="1" customWidth="1"/>
  </cols>
  <sheetData>
    <row r="1" spans="1:1" x14ac:dyDescent="0.25">
      <c r="A1" t="s">
        <v>124</v>
      </c>
    </row>
    <row r="2" spans="1:1" x14ac:dyDescent="0.25">
      <c r="A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Bumpus, Dominic Jacob</dc:creator>
  <cp:lastModifiedBy>Bumpus, Dominic Jacob</cp:lastModifiedBy>
  <dcterms:created xsi:type="dcterms:W3CDTF">2024-09-27T00:25:57Z</dcterms:created>
  <dcterms:modified xsi:type="dcterms:W3CDTF">2024-09-27T01:41:43Z</dcterms:modified>
</cp:coreProperties>
</file>